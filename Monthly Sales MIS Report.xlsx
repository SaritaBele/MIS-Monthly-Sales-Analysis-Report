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H:\Data Analytics_PractiseProject\Projects to be show up\"/>
    </mc:Choice>
  </mc:AlternateContent>
  <xr:revisionPtr revIDLastSave="0" documentId="13_ncr:1_{F4243465-F108-43A0-B4FD-7B68F1DE00FD}" xr6:coauthVersionLast="47" xr6:coauthVersionMax="47" xr10:uidLastSave="{00000000-0000-0000-0000-000000000000}"/>
  <bookViews>
    <workbookView xWindow="-120" yWindow="-120" windowWidth="20730" windowHeight="11160" tabRatio="623" activeTab="1" xr2:uid="{82236E6E-7267-4299-97B6-42DAA1B2B9B7}"/>
  </bookViews>
  <sheets>
    <sheet name="MIS_RegionalSalesData" sheetId="2" r:id="rId1"/>
    <sheet name="Pivot Tables" sheetId="1" r:id="rId2"/>
    <sheet name="DashBoard MIS Monthly Report" sheetId="3" r:id="rId3"/>
  </sheets>
  <definedNames>
    <definedName name="ExternalData_1" localSheetId="0" hidden="1">MIS_RegionalSalesData!$A$1:$F$100</definedName>
    <definedName name="Slicer_Month2">#N/A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4" i="2" l="1"/>
  <c r="J14" i="2" s="1"/>
  <c r="G87" i="2"/>
  <c r="G6" i="2"/>
  <c r="G100" i="2"/>
  <c r="G93" i="2"/>
  <c r="G20" i="2"/>
  <c r="G49" i="2"/>
  <c r="G97" i="2"/>
  <c r="G2" i="2"/>
  <c r="G84" i="2"/>
  <c r="G50" i="2"/>
  <c r="G61" i="2"/>
  <c r="G4" i="2"/>
  <c r="G95" i="2"/>
  <c r="G10" i="2"/>
  <c r="G98" i="2"/>
  <c r="G21" i="2"/>
  <c r="G89" i="2"/>
  <c r="G14" i="2"/>
  <c r="G48" i="2"/>
  <c r="G71" i="2"/>
  <c r="G51" i="2"/>
  <c r="G35" i="2"/>
  <c r="G99" i="2"/>
  <c r="G31" i="2"/>
  <c r="G75" i="2"/>
  <c r="G27" i="2"/>
  <c r="G52" i="2"/>
  <c r="G29" i="2"/>
  <c r="G53" i="2"/>
  <c r="G67" i="2"/>
  <c r="G92" i="2"/>
  <c r="G24" i="2"/>
  <c r="G47" i="2"/>
  <c r="G3" i="2"/>
  <c r="G74" i="2"/>
  <c r="G64" i="2"/>
  <c r="G16" i="2"/>
  <c r="G88" i="2"/>
  <c r="G39" i="2"/>
  <c r="G79" i="2"/>
  <c r="G17" i="2"/>
  <c r="G54" i="2"/>
  <c r="G40" i="2"/>
  <c r="G69" i="2"/>
  <c r="G83" i="2"/>
  <c r="G36" i="2"/>
  <c r="G28" i="2"/>
  <c r="G32" i="2"/>
  <c r="G38" i="2"/>
  <c r="G46" i="2"/>
  <c r="G80" i="2"/>
  <c r="G85" i="2"/>
  <c r="G8" i="2"/>
  <c r="G77" i="2"/>
  <c r="G11" i="2"/>
  <c r="G55" i="2"/>
  <c r="G18" i="2"/>
  <c r="G96" i="2"/>
  <c r="G73" i="2"/>
  <c r="G68" i="2"/>
  <c r="G81" i="2"/>
  <c r="G26" i="2"/>
  <c r="G62" i="2"/>
  <c r="G15" i="2"/>
  <c r="G72" i="2"/>
  <c r="G56" i="2"/>
  <c r="G76" i="2"/>
  <c r="G86" i="2"/>
  <c r="G45" i="2"/>
  <c r="G12" i="2"/>
  <c r="G25" i="2"/>
  <c r="G60" i="2"/>
  <c r="G9" i="2"/>
  <c r="G65" i="2"/>
  <c r="G57" i="2"/>
  <c r="G42" i="2"/>
  <c r="G19" i="2"/>
  <c r="G44" i="2"/>
  <c r="G37" i="2"/>
  <c r="G91" i="2"/>
  <c r="G33" i="2"/>
  <c r="G78" i="2"/>
  <c r="G5" i="2"/>
  <c r="G94" i="2"/>
  <c r="G41" i="2"/>
  <c r="G70" i="2"/>
  <c r="G66" i="2"/>
  <c r="G82" i="2"/>
  <c r="G7" i="2"/>
  <c r="G22" i="2"/>
  <c r="G13" i="2"/>
  <c r="G90" i="2"/>
  <c r="G58" i="2"/>
  <c r="G30" i="2"/>
  <c r="G59" i="2"/>
  <c r="G63" i="2"/>
  <c r="G43" i="2"/>
  <c r="G23" i="2"/>
  <c r="G34" i="2"/>
  <c r="H87" i="2"/>
  <c r="J87" i="2" s="1"/>
  <c r="H6" i="2"/>
  <c r="J6" i="2" s="1"/>
  <c r="H100" i="2"/>
  <c r="J100" i="2" s="1"/>
  <c r="H93" i="2"/>
  <c r="J93" i="2" s="1"/>
  <c r="H20" i="2"/>
  <c r="J20" i="2" s="1"/>
  <c r="H49" i="2"/>
  <c r="J49" i="2" s="1"/>
  <c r="H97" i="2"/>
  <c r="J97" i="2" s="1"/>
  <c r="H2" i="2"/>
  <c r="J2" i="2" s="1"/>
  <c r="H84" i="2"/>
  <c r="J84" i="2" s="1"/>
  <c r="H50" i="2"/>
  <c r="J50" i="2" s="1"/>
  <c r="H61" i="2"/>
  <c r="J61" i="2" s="1"/>
  <c r="H4" i="2"/>
  <c r="J4" i="2" s="1"/>
  <c r="H95" i="2"/>
  <c r="J95" i="2" s="1"/>
  <c r="H10" i="2"/>
  <c r="J10" i="2" s="1"/>
  <c r="H98" i="2"/>
  <c r="J98" i="2" s="1"/>
  <c r="H21" i="2"/>
  <c r="J21" i="2" s="1"/>
  <c r="H89" i="2"/>
  <c r="J89" i="2" s="1"/>
  <c r="H48" i="2"/>
  <c r="J48" i="2" s="1"/>
  <c r="H71" i="2"/>
  <c r="J71" i="2" s="1"/>
  <c r="H51" i="2"/>
  <c r="J51" i="2" s="1"/>
  <c r="H35" i="2"/>
  <c r="J35" i="2" s="1"/>
  <c r="H99" i="2"/>
  <c r="J99" i="2" s="1"/>
  <c r="H31" i="2"/>
  <c r="J31" i="2" s="1"/>
  <c r="H75" i="2"/>
  <c r="J75" i="2" s="1"/>
  <c r="H27" i="2"/>
  <c r="J27" i="2" s="1"/>
  <c r="H52" i="2"/>
  <c r="J52" i="2" s="1"/>
  <c r="H29" i="2"/>
  <c r="J29" i="2" s="1"/>
  <c r="H53" i="2"/>
  <c r="J53" i="2" s="1"/>
  <c r="H67" i="2"/>
  <c r="J67" i="2" s="1"/>
  <c r="H92" i="2"/>
  <c r="J92" i="2" s="1"/>
  <c r="H24" i="2"/>
  <c r="J24" i="2" s="1"/>
  <c r="H47" i="2"/>
  <c r="J47" i="2" s="1"/>
  <c r="H3" i="2"/>
  <c r="J3" i="2" s="1"/>
  <c r="H74" i="2"/>
  <c r="J74" i="2" s="1"/>
  <c r="H64" i="2"/>
  <c r="J64" i="2" s="1"/>
  <c r="H16" i="2"/>
  <c r="J16" i="2" s="1"/>
  <c r="H88" i="2"/>
  <c r="J88" i="2" s="1"/>
  <c r="H39" i="2"/>
  <c r="H79" i="2"/>
  <c r="J79" i="2" s="1"/>
  <c r="H17" i="2"/>
  <c r="J17" i="2" s="1"/>
  <c r="H54" i="2"/>
  <c r="J54" i="2" s="1"/>
  <c r="H40" i="2"/>
  <c r="J40" i="2" s="1"/>
  <c r="H69" i="2"/>
  <c r="J69" i="2" s="1"/>
  <c r="H83" i="2"/>
  <c r="J83" i="2" s="1"/>
  <c r="H36" i="2"/>
  <c r="J36" i="2" s="1"/>
  <c r="H28" i="2"/>
  <c r="J28" i="2" s="1"/>
  <c r="H32" i="2"/>
  <c r="J32" i="2" s="1"/>
  <c r="H38" i="2"/>
  <c r="J38" i="2" s="1"/>
  <c r="H46" i="2"/>
  <c r="J46" i="2" s="1"/>
  <c r="H80" i="2"/>
  <c r="J80" i="2" s="1"/>
  <c r="H85" i="2"/>
  <c r="J85" i="2" s="1"/>
  <c r="H8" i="2"/>
  <c r="J8" i="2" s="1"/>
  <c r="H77" i="2"/>
  <c r="J77" i="2" s="1"/>
  <c r="H11" i="2"/>
  <c r="J11" i="2" s="1"/>
  <c r="H55" i="2"/>
  <c r="J55" i="2" s="1"/>
  <c r="H18" i="2"/>
  <c r="J18" i="2" s="1"/>
  <c r="H96" i="2"/>
  <c r="J96" i="2" s="1"/>
  <c r="H73" i="2"/>
  <c r="J73" i="2" s="1"/>
  <c r="H68" i="2"/>
  <c r="J68" i="2" s="1"/>
  <c r="H81" i="2"/>
  <c r="J81" i="2" s="1"/>
  <c r="H26" i="2"/>
  <c r="J26" i="2" s="1"/>
  <c r="H62" i="2"/>
  <c r="J62" i="2" s="1"/>
  <c r="H15" i="2"/>
  <c r="J15" i="2" s="1"/>
  <c r="H72" i="2"/>
  <c r="J72" i="2" s="1"/>
  <c r="H56" i="2"/>
  <c r="J56" i="2" s="1"/>
  <c r="H76" i="2"/>
  <c r="J76" i="2" s="1"/>
  <c r="H86" i="2"/>
  <c r="J86" i="2" s="1"/>
  <c r="H45" i="2"/>
  <c r="J45" i="2" s="1"/>
  <c r="H12" i="2"/>
  <c r="J12" i="2" s="1"/>
  <c r="H25" i="2"/>
  <c r="J25" i="2" s="1"/>
  <c r="H60" i="2"/>
  <c r="J60" i="2" s="1"/>
  <c r="H9" i="2"/>
  <c r="J9" i="2" s="1"/>
  <c r="H65" i="2"/>
  <c r="H57" i="2"/>
  <c r="J57" i="2" s="1"/>
  <c r="H42" i="2"/>
  <c r="J42" i="2" s="1"/>
  <c r="H19" i="2"/>
  <c r="J19" i="2" s="1"/>
  <c r="H44" i="2"/>
  <c r="J44" i="2" s="1"/>
  <c r="H37" i="2"/>
  <c r="J37" i="2" s="1"/>
  <c r="H91" i="2"/>
  <c r="J91" i="2" s="1"/>
  <c r="H33" i="2"/>
  <c r="J33" i="2" s="1"/>
  <c r="H78" i="2"/>
  <c r="J78" i="2" s="1"/>
  <c r="H5" i="2"/>
  <c r="H94" i="2"/>
  <c r="J94" i="2" s="1"/>
  <c r="H41" i="2"/>
  <c r="J41" i="2" s="1"/>
  <c r="H70" i="2"/>
  <c r="J70" i="2" s="1"/>
  <c r="H66" i="2"/>
  <c r="J66" i="2" s="1"/>
  <c r="H82" i="2"/>
  <c r="J82" i="2" s="1"/>
  <c r="H7" i="2"/>
  <c r="J7" i="2" s="1"/>
  <c r="H22" i="2"/>
  <c r="J22" i="2" s="1"/>
  <c r="H13" i="2"/>
  <c r="J13" i="2" s="1"/>
  <c r="H90" i="2"/>
  <c r="J90" i="2" s="1"/>
  <c r="H58" i="2"/>
  <c r="J58" i="2" s="1"/>
  <c r="H30" i="2"/>
  <c r="J30" i="2" s="1"/>
  <c r="H59" i="2"/>
  <c r="J59" i="2" s="1"/>
  <c r="H63" i="2"/>
  <c r="J63" i="2" s="1"/>
  <c r="H43" i="2"/>
  <c r="J43" i="2" s="1"/>
  <c r="H23" i="2"/>
  <c r="J23" i="2" s="1"/>
  <c r="H34" i="2"/>
  <c r="J34" i="2" s="1"/>
  <c r="I87" i="2"/>
  <c r="I6" i="2"/>
  <c r="I100" i="2"/>
  <c r="I93" i="2"/>
  <c r="I20" i="2"/>
  <c r="I49" i="2"/>
  <c r="I97" i="2"/>
  <c r="I2" i="2"/>
  <c r="I84" i="2"/>
  <c r="I50" i="2"/>
  <c r="I61" i="2"/>
  <c r="I4" i="2"/>
  <c r="I95" i="2"/>
  <c r="I10" i="2"/>
  <c r="I98" i="2"/>
  <c r="I21" i="2"/>
  <c r="I89" i="2"/>
  <c r="I14" i="2"/>
  <c r="I48" i="2"/>
  <c r="I71" i="2"/>
  <c r="I51" i="2"/>
  <c r="I35" i="2"/>
  <c r="I99" i="2"/>
  <c r="I31" i="2"/>
  <c r="I75" i="2"/>
  <c r="I27" i="2"/>
  <c r="I52" i="2"/>
  <c r="I29" i="2"/>
  <c r="I53" i="2"/>
  <c r="I67" i="2"/>
  <c r="I92" i="2"/>
  <c r="I24" i="2"/>
  <c r="I47" i="2"/>
  <c r="I3" i="2"/>
  <c r="I74" i="2"/>
  <c r="I64" i="2"/>
  <c r="I16" i="2"/>
  <c r="I88" i="2"/>
  <c r="I39" i="2"/>
  <c r="I79" i="2"/>
  <c r="I17" i="2"/>
  <c r="I54" i="2"/>
  <c r="I40" i="2"/>
  <c r="I69" i="2"/>
  <c r="I83" i="2"/>
  <c r="I36" i="2"/>
  <c r="I28" i="2"/>
  <c r="I32" i="2"/>
  <c r="I38" i="2"/>
  <c r="I46" i="2"/>
  <c r="I80" i="2"/>
  <c r="I85" i="2"/>
  <c r="I8" i="2"/>
  <c r="I77" i="2"/>
  <c r="I11" i="2"/>
  <c r="I55" i="2"/>
  <c r="I18" i="2"/>
  <c r="I96" i="2"/>
  <c r="I73" i="2"/>
  <c r="I68" i="2"/>
  <c r="I81" i="2"/>
  <c r="I26" i="2"/>
  <c r="I62" i="2"/>
  <c r="I15" i="2"/>
  <c r="I72" i="2"/>
  <c r="I56" i="2"/>
  <c r="I76" i="2"/>
  <c r="I86" i="2"/>
  <c r="I45" i="2"/>
  <c r="I12" i="2"/>
  <c r="I25" i="2"/>
  <c r="I60" i="2"/>
  <c r="I9" i="2"/>
  <c r="I65" i="2"/>
  <c r="I57" i="2"/>
  <c r="I42" i="2"/>
  <c r="I19" i="2"/>
  <c r="I44" i="2"/>
  <c r="I37" i="2"/>
  <c r="I91" i="2"/>
  <c r="I33" i="2"/>
  <c r="I78" i="2"/>
  <c r="I5" i="2"/>
  <c r="I94" i="2"/>
  <c r="I41" i="2"/>
  <c r="I70" i="2"/>
  <c r="I66" i="2"/>
  <c r="I82" i="2"/>
  <c r="I7" i="2"/>
  <c r="I22" i="2"/>
  <c r="I13" i="2"/>
  <c r="I90" i="2"/>
  <c r="I58" i="2"/>
  <c r="I30" i="2"/>
  <c r="I59" i="2"/>
  <c r="I63" i="2"/>
  <c r="I43" i="2"/>
  <c r="I23" i="2"/>
  <c r="I34" i="2"/>
  <c r="J39" i="2"/>
  <c r="J65" i="2"/>
  <c r="J5" i="2"/>
  <c r="J118" i="1"/>
  <c r="J115" i="1"/>
  <c r="J121" i="1" l="1"/>
  <c r="L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EA2AF5-D41B-421B-946A-BDF5D8F30963}" keepAlive="1" name="Query - MIS_RegionalSalesData" description="Connection to the 'MIS_RegionalSalesData' query in the workbook." type="5" refreshedVersion="8" background="1" saveData="1">
    <dbPr connection="Provider=Microsoft.Mashup.OleDb.1;Data Source=$Workbook$;Location=MIS_RegionalSalesData;Extended Properties=&quot;&quot;" command="SELECT * FROM [MIS_RegionalSalesData]"/>
  </connection>
</connections>
</file>

<file path=xl/sharedStrings.xml><?xml version="1.0" encoding="utf-8"?>
<sst xmlns="http://schemas.openxmlformats.org/spreadsheetml/2006/main" count="487" uniqueCount="168">
  <si>
    <t>Agent Name</t>
  </si>
  <si>
    <t>Region</t>
  </si>
  <si>
    <t>Product</t>
  </si>
  <si>
    <t>Target (₹)</t>
  </si>
  <si>
    <t>Actual Sales(₹)</t>
  </si>
  <si>
    <t>Month</t>
  </si>
  <si>
    <t>Rajesh Sharma</t>
  </si>
  <si>
    <t>Maharashtra</t>
  </si>
  <si>
    <t>Solar Inverter</t>
  </si>
  <si>
    <t>Priya Patel</t>
  </si>
  <si>
    <t>Gujarat</t>
  </si>
  <si>
    <t>Water Purifier</t>
  </si>
  <si>
    <t>Amit Singh</t>
  </si>
  <si>
    <t>Air Conditioner</t>
  </si>
  <si>
    <t>Neha Gupta</t>
  </si>
  <si>
    <t>Delhi</t>
  </si>
  <si>
    <t>Rahul Verma</t>
  </si>
  <si>
    <t>Karnataka</t>
  </si>
  <si>
    <t>Vikram Joshi</t>
  </si>
  <si>
    <t>Anjali Reddy</t>
  </si>
  <si>
    <t>Telangana</t>
  </si>
  <si>
    <t>Rohit Sharma</t>
  </si>
  <si>
    <t>Punjab</t>
  </si>
  <si>
    <t>Deepa Nair</t>
  </si>
  <si>
    <t>Kerala</t>
  </si>
  <si>
    <t>Manoj Kumar</t>
  </si>
  <si>
    <t>Tamil Nadu</t>
  </si>
  <si>
    <t>Sneha Patil</t>
  </si>
  <si>
    <t>Karthik Raj</t>
  </si>
  <si>
    <t>Pooja Shah</t>
  </si>
  <si>
    <t>Vijay Jadhav</t>
  </si>
  <si>
    <t>Divya Iyer</t>
  </si>
  <si>
    <t>Sachin Tendulkar</t>
  </si>
  <si>
    <t>Rekha Menon</t>
  </si>
  <si>
    <t>Suresh Raina</t>
  </si>
  <si>
    <t>Kavita Rao</t>
  </si>
  <si>
    <t>Ravi Shankar</t>
  </si>
  <si>
    <t>Sameer Khan</t>
  </si>
  <si>
    <t>Tina Dsouza</t>
  </si>
  <si>
    <t>Goa</t>
  </si>
  <si>
    <t>Arvind Gupta</t>
  </si>
  <si>
    <t>Ritu Sharma</t>
  </si>
  <si>
    <t>Haryana</t>
  </si>
  <si>
    <t>Manish Pandey</t>
  </si>
  <si>
    <t>Harish Bhat</t>
  </si>
  <si>
    <t>Jyoti Kulkarni</t>
  </si>
  <si>
    <t>Ashok Kumar</t>
  </si>
  <si>
    <t>Fatima Sheikh</t>
  </si>
  <si>
    <t>Sunil Gavaskar</t>
  </si>
  <si>
    <t>Meenakshi S.</t>
  </si>
  <si>
    <t>Nitesh Jain</t>
  </si>
  <si>
    <t>Swati Singh</t>
  </si>
  <si>
    <t>Bhavesh Patel</t>
  </si>
  <si>
    <t>Amrita Rao</t>
  </si>
  <si>
    <t>Tarun Sharma</t>
  </si>
  <si>
    <t>Varun Dhawan</t>
  </si>
  <si>
    <t>Rakesh Roshan</t>
  </si>
  <si>
    <t>Preeti Zinta</t>
  </si>
  <si>
    <t>Sanjay Dutt</t>
  </si>
  <si>
    <t>Madhuri Dixit</t>
  </si>
  <si>
    <t>Anil Kapoor</t>
  </si>
  <si>
    <t>Salman Khan</t>
  </si>
  <si>
    <t>Aamir Khan</t>
  </si>
  <si>
    <t>Akshay Kumar</t>
  </si>
  <si>
    <t>Ajay Devgn</t>
  </si>
  <si>
    <t>Saif Ali Khan</t>
  </si>
  <si>
    <t>Hrithik Roshan</t>
  </si>
  <si>
    <t>Ranbir Kapoor</t>
  </si>
  <si>
    <t>Shahid Kapoor</t>
  </si>
  <si>
    <t>Ranveer Singh</t>
  </si>
  <si>
    <t>Varun Sharma</t>
  </si>
  <si>
    <t>Kartik Aaryan</t>
  </si>
  <si>
    <t>Vicky Kaushal</t>
  </si>
  <si>
    <t>Ayushmann K.</t>
  </si>
  <si>
    <t>Rajkummar Rao</t>
  </si>
  <si>
    <t>Sidharth M.</t>
  </si>
  <si>
    <t>Aditya Roy K.</t>
  </si>
  <si>
    <t>Emraan Hashmi</t>
  </si>
  <si>
    <t>John Abraham</t>
  </si>
  <si>
    <t>Suniel Shetty</t>
  </si>
  <si>
    <t>Sanjay Kapoor</t>
  </si>
  <si>
    <t>Chunky Pandey</t>
  </si>
  <si>
    <t>Govinda</t>
  </si>
  <si>
    <t>Jackie Shroff</t>
  </si>
  <si>
    <t>Anil Dhawan</t>
  </si>
  <si>
    <t>Mithun Chakraborty</t>
  </si>
  <si>
    <t>Shakti Kapoor</t>
  </si>
  <si>
    <t>Gulshan Grover</t>
  </si>
  <si>
    <t>Paresh Rawal</t>
  </si>
  <si>
    <t>Anupam Kher</t>
  </si>
  <si>
    <t>Naseeruddin Shah</t>
  </si>
  <si>
    <t>Om Puri</t>
  </si>
  <si>
    <t>Shabana Azmi</t>
  </si>
  <si>
    <t>Smita Patil</t>
  </si>
  <si>
    <t>Hema Malini</t>
  </si>
  <si>
    <t>Rekha</t>
  </si>
  <si>
    <t>Sridevi</t>
  </si>
  <si>
    <t>Juhi Chawla</t>
  </si>
  <si>
    <t>Karisma Kapoor</t>
  </si>
  <si>
    <t>Kareena Kapoor</t>
  </si>
  <si>
    <t>Rani Mukerji</t>
  </si>
  <si>
    <t>Preity Zinta</t>
  </si>
  <si>
    <t>Aishwarya Rai</t>
  </si>
  <si>
    <t>Sushmita Sen</t>
  </si>
  <si>
    <t>Lara Dutta</t>
  </si>
  <si>
    <t>Priyanka Chopra</t>
  </si>
  <si>
    <t>Katrina Kaif</t>
  </si>
  <si>
    <t>Deepika Padukone</t>
  </si>
  <si>
    <t>Alia Bhatt</t>
  </si>
  <si>
    <t>Shraddha Kapoor</t>
  </si>
  <si>
    <t>Sonakshi Sinha</t>
  </si>
  <si>
    <t>Sonam Kapoor</t>
  </si>
  <si>
    <t>Kangana Ranaut</t>
  </si>
  <si>
    <t>Vidya Balan</t>
  </si>
  <si>
    <t>Anushka Sharma</t>
  </si>
  <si>
    <t>Radhika Apte</t>
  </si>
  <si>
    <t>Taapsee Pannu</t>
  </si>
  <si>
    <t>Achivement(%)</t>
  </si>
  <si>
    <t>Status</t>
  </si>
  <si>
    <t>Row Labels</t>
  </si>
  <si>
    <t>Grand Total</t>
  </si>
  <si>
    <t>Sum of Actual Sales(₹)</t>
  </si>
  <si>
    <t>Regions</t>
  </si>
  <si>
    <t>Products</t>
  </si>
  <si>
    <t>Column Labels</t>
  </si>
  <si>
    <t>Sum of Target (₹)</t>
  </si>
  <si>
    <t>Below Target</t>
  </si>
  <si>
    <t>Met Target</t>
  </si>
  <si>
    <t>Count of Status</t>
  </si>
  <si>
    <t>Target Status</t>
  </si>
  <si>
    <t>Monthy Target</t>
  </si>
  <si>
    <t>Variance</t>
  </si>
  <si>
    <t>January</t>
  </si>
  <si>
    <t>Sum of Variance</t>
  </si>
  <si>
    <t>Months</t>
  </si>
  <si>
    <t>ProductWise</t>
  </si>
  <si>
    <t>Status_Wise %</t>
  </si>
  <si>
    <t xml:space="preserve"> MonthWise Status (%)</t>
  </si>
  <si>
    <t xml:space="preserve">Monthly Count of Status </t>
  </si>
  <si>
    <t>MonthWise Each Product Actual Sales</t>
  </si>
  <si>
    <t>MonthWise Each Product Target Sales</t>
  </si>
  <si>
    <t>Monthly Each Product Difference(%) in Target And Actual Sales</t>
  </si>
  <si>
    <t>Count of Agents</t>
  </si>
  <si>
    <t>Count of Agents Each Product Monthly sold</t>
  </si>
  <si>
    <t>Monthly Each product Status percentage</t>
  </si>
  <si>
    <t>Each Product Region Wise ActualSales</t>
  </si>
  <si>
    <t>Air Conditioner Total</t>
  </si>
  <si>
    <t>Solar Inverter Total</t>
  </si>
  <si>
    <t>Water Purifier Total</t>
  </si>
  <si>
    <t>Productwise Total Actual Sales</t>
  </si>
  <si>
    <t>Region Wise Total Actual Sales</t>
  </si>
  <si>
    <t>Sparklines</t>
  </si>
  <si>
    <t>(No Chart Specify in report file)</t>
  </si>
  <si>
    <t>Total  MonthWise Status (%)</t>
  </si>
  <si>
    <t>Total Count of Status</t>
  </si>
  <si>
    <t>Product wise Total Status (%)</t>
  </si>
  <si>
    <t>Total Revenue</t>
  </si>
  <si>
    <t>Total Agents</t>
  </si>
  <si>
    <t>Total %  Met Target</t>
  </si>
  <si>
    <t>Month2</t>
  </si>
  <si>
    <t>February</t>
  </si>
  <si>
    <t>March</t>
  </si>
  <si>
    <t>April</t>
  </si>
  <si>
    <t>May</t>
  </si>
  <si>
    <t>Max of Achivement(%)</t>
  </si>
  <si>
    <t>Region Wise Each Product Max of Achivement(%)</t>
  </si>
  <si>
    <t>Min of Achivement(%)</t>
  </si>
  <si>
    <t>Monthly Growth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</si>
</sst>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4E]* #,##0_ ;_ [$₹-44E]* \-#,##0_ ;_ [$₹-44E]* &quot;-&quot;_ ;_ @_ "/>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2"/>
      <color rgb="FF000000"/>
      <name val="Calibri Light"/>
      <family val="2"/>
      <scheme val="major"/>
    </font>
    <font>
      <sz val="20"/>
      <color rgb="FF00000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14" fontId="0" fillId="0" borderId="0" xfId="0" applyNumberFormat="1"/>
    <xf numFmtId="9" fontId="0" fillId="0" borderId="0" xfId="1" applyFont="1"/>
    <xf numFmtId="10" fontId="0" fillId="0" borderId="0" xfId="1" applyNumberFormat="1" applyFont="1"/>
    <xf numFmtId="0" fontId="0" fillId="0" borderId="0" xfId="0" pivotButton="1"/>
    <xf numFmtId="0" fontId="0" fillId="0" borderId="0" xfId="0" applyAlignment="1">
      <alignment horizontal="left"/>
    </xf>
    <xf numFmtId="9" fontId="0" fillId="0" borderId="0" xfId="0" applyNumberFormat="1"/>
    <xf numFmtId="10" fontId="0" fillId="0" borderId="0" xfId="0" applyNumberFormat="1"/>
    <xf numFmtId="9" fontId="0" fillId="0" borderId="0" xfId="1" applyFont="1" applyBorder="1"/>
    <xf numFmtId="0" fontId="0" fillId="2" borderId="0" xfId="0" applyFill="1"/>
    <xf numFmtId="0" fontId="2" fillId="3" borderId="0" xfId="0" applyFont="1" applyFill="1"/>
    <xf numFmtId="0" fontId="3" fillId="0" borderId="0" xfId="0" applyFont="1"/>
    <xf numFmtId="164" fontId="4" fillId="0" borderId="0" xfId="0" applyNumberFormat="1" applyFont="1"/>
    <xf numFmtId="0" fontId="2" fillId="3" borderId="0" xfId="0" applyFont="1" applyFill="1" applyAlignment="1">
      <alignment horizontal="center"/>
    </xf>
    <xf numFmtId="0" fontId="2" fillId="0" borderId="0" xfId="0" applyFont="1" applyAlignment="1">
      <alignment horizontal="center"/>
    </xf>
  </cellXfs>
  <cellStyles count="2">
    <cellStyle name="Normal" xfId="0" builtinId="0"/>
    <cellStyle name="Percent" xfId="1" builtinId="5"/>
  </cellStyles>
  <dxfs count="17">
    <dxf>
      <numFmt numFmtId="13" formatCode="0%"/>
    </dxf>
    <dxf>
      <numFmt numFmtId="13" formatCode="0%"/>
    </dxf>
    <dxf>
      <numFmt numFmtId="13" formatCode="0%"/>
    </dxf>
    <dxf>
      <numFmt numFmtId="13" formatCode="0%"/>
    </dxf>
    <dxf>
      <numFmt numFmtId="0" formatCode="General"/>
    </dxf>
    <dxf>
      <font>
        <b val="0"/>
        <i val="0"/>
        <strike val="0"/>
        <condense val="0"/>
        <extend val="0"/>
        <outline val="0"/>
        <shadow val="0"/>
        <u val="none"/>
        <vertAlign val="baseline"/>
        <sz val="11"/>
        <color theme="1"/>
        <name val="Calibri"/>
        <family val="2"/>
        <scheme val="minor"/>
      </font>
      <numFmt numFmtId="14" formatCode="0.00%"/>
    </dxf>
    <dxf>
      <numFmt numFmtId="14" formatCode="0.00%"/>
    </dxf>
    <dxf>
      <numFmt numFmtId="165" formatCode="yyyy/mm/dd"/>
    </dxf>
    <dxf>
      <numFmt numFmtId="165" formatCode="yyyy/mm/dd"/>
    </dxf>
    <dxf>
      <numFmt numFmtId="0" formatCode="General"/>
    </dxf>
    <dxf>
      <numFmt numFmtId="0" formatCode="General"/>
    </dxf>
    <dxf>
      <numFmt numFmtId="0" formatCode="Genera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AE3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Sales MIS Report.xlsx]Pivot Tables!RegionWise_TotalSales</c:name>
    <c:fmtId val="3"/>
  </c:pivotSource>
  <c:chart>
    <c:title>
      <c:tx>
        <c:rich>
          <a:bodyPr rot="0" spcFirstLastPara="1" vertOverflow="ellipsis" vert="horz" wrap="square" anchor="ctr" anchorCtr="1"/>
          <a:lstStyle/>
          <a:p>
            <a:pPr>
              <a:defRPr sz="1100" b="1" i="0" u="none" strike="noStrike" kern="1200" cap="all" spc="120" normalizeH="0" baseline="0">
                <a:solidFill>
                  <a:schemeClr val="tx1">
                    <a:lumMod val="65000"/>
                    <a:lumOff val="35000"/>
                  </a:schemeClr>
                </a:solidFill>
                <a:latin typeface="+mn-lt"/>
                <a:ea typeface="+mn-ea"/>
                <a:cs typeface="+mn-cs"/>
              </a:defRPr>
            </a:pPr>
            <a:r>
              <a:rPr lang="en-US" sz="1050">
                <a:latin typeface="Arial Rounded MT Bold" panose="020F0704030504030204" pitchFamily="34" charset="0"/>
              </a:rPr>
              <a:t>Region Wise Total </a:t>
            </a:r>
          </a:p>
          <a:p>
            <a:pPr>
              <a:defRPr sz="1100"/>
            </a:pPr>
            <a:r>
              <a:rPr lang="en-US" sz="1050">
                <a:latin typeface="Arial Rounded MT Bold" panose="020F0704030504030204" pitchFamily="34" charset="0"/>
              </a:rPr>
              <a:t>ActualSales</a:t>
            </a:r>
          </a:p>
        </c:rich>
      </c:tx>
      <c:layout>
        <c:manualLayout>
          <c:xMode val="edge"/>
          <c:yMode val="edge"/>
          <c:x val="0"/>
          <c:y val="3.0785357987323181E-2"/>
        </c:manualLayout>
      </c:layout>
      <c:overlay val="0"/>
      <c:spPr>
        <a:noFill/>
        <a:ln>
          <a:noFill/>
        </a:ln>
        <a:effectLst/>
      </c:spPr>
      <c:txPr>
        <a:bodyPr rot="0" spcFirstLastPara="1" vertOverflow="ellipsis" vert="horz" wrap="square" anchor="ctr" anchorCtr="1"/>
        <a:lstStyle/>
        <a:p>
          <a:pPr>
            <a:defRPr sz="11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_ [$₹-44E]* #,##0_ ;_ [$₹-44E]* \-#,##0_ ;_ [$₹-44E]* &quot;-&quot;_ ;_ @_ "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numFmt formatCode="_ [$₹-44E]* #,##0_ ;_ [$₹-44E]* \-#,##0_ ;_ [$₹-44E]* &quot;-&quot;_ ;_ @_ "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Tables'!$A$4:$A$13</c:f>
              <c:strCache>
                <c:ptCount val="10"/>
                <c:pt idx="0">
                  <c:v>Delhi</c:v>
                </c:pt>
                <c:pt idx="1">
                  <c:v>Goa</c:v>
                </c:pt>
                <c:pt idx="2">
                  <c:v>Gujarat</c:v>
                </c:pt>
                <c:pt idx="3">
                  <c:v>Haryana</c:v>
                </c:pt>
                <c:pt idx="4">
                  <c:v>Karnataka</c:v>
                </c:pt>
                <c:pt idx="5">
                  <c:v>Kerala</c:v>
                </c:pt>
                <c:pt idx="6">
                  <c:v>Maharashtra</c:v>
                </c:pt>
                <c:pt idx="7">
                  <c:v>Punjab</c:v>
                </c:pt>
                <c:pt idx="8">
                  <c:v>Tamil Nadu</c:v>
                </c:pt>
                <c:pt idx="9">
                  <c:v>Telangana</c:v>
                </c:pt>
              </c:strCache>
            </c:strRef>
          </c:cat>
          <c:val>
            <c:numRef>
              <c:f>'Pivot Tables'!$B$4:$B$13</c:f>
              <c:numCache>
                <c:formatCode>General</c:formatCode>
                <c:ptCount val="10"/>
                <c:pt idx="0">
                  <c:v>1519000</c:v>
                </c:pt>
                <c:pt idx="1">
                  <c:v>150000</c:v>
                </c:pt>
                <c:pt idx="2">
                  <c:v>1800000</c:v>
                </c:pt>
                <c:pt idx="3">
                  <c:v>85000</c:v>
                </c:pt>
                <c:pt idx="4">
                  <c:v>1762000</c:v>
                </c:pt>
                <c:pt idx="5">
                  <c:v>929000</c:v>
                </c:pt>
                <c:pt idx="6">
                  <c:v>5103000</c:v>
                </c:pt>
                <c:pt idx="7">
                  <c:v>618000</c:v>
                </c:pt>
                <c:pt idx="8">
                  <c:v>355000</c:v>
                </c:pt>
                <c:pt idx="9">
                  <c:v>166000</c:v>
                </c:pt>
              </c:numCache>
            </c:numRef>
          </c:val>
          <c:extLst>
            <c:ext xmlns:c16="http://schemas.microsoft.com/office/drawing/2014/chart" uri="{C3380CC4-5D6E-409C-BE32-E72D297353CC}">
              <c16:uniqueId val="{00000000-A48E-4D75-A9D3-8449C909D126}"/>
            </c:ext>
          </c:extLst>
        </c:ser>
        <c:dLbls>
          <c:dLblPos val="outEnd"/>
          <c:showLegendKey val="0"/>
          <c:showVal val="1"/>
          <c:showCatName val="0"/>
          <c:showSerName val="0"/>
          <c:showPercent val="0"/>
          <c:showBubbleSize val="0"/>
        </c:dLbls>
        <c:gapWidth val="444"/>
        <c:overlap val="-90"/>
        <c:axId val="424609280"/>
        <c:axId val="424610720"/>
      </c:barChart>
      <c:catAx>
        <c:axId val="42460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solidFill>
                <a:latin typeface="+mn-lt"/>
                <a:ea typeface="+mn-ea"/>
                <a:cs typeface="+mn-cs"/>
              </a:defRPr>
            </a:pPr>
            <a:endParaRPr lang="en-US"/>
          </a:p>
        </c:txPr>
        <c:crossAx val="424610720"/>
        <c:crosses val="autoZero"/>
        <c:auto val="1"/>
        <c:lblAlgn val="ctr"/>
        <c:lblOffset val="100"/>
        <c:noMultiLvlLbl val="0"/>
      </c:catAx>
      <c:valAx>
        <c:axId val="424610720"/>
        <c:scaling>
          <c:orientation val="minMax"/>
        </c:scaling>
        <c:delete val="1"/>
        <c:axPos val="l"/>
        <c:numFmt formatCode="General" sourceLinked="1"/>
        <c:majorTickMark val="none"/>
        <c:minorTickMark val="none"/>
        <c:tickLblPos val="nextTo"/>
        <c:crossAx val="424609280"/>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Sales MIS Report.xlsx]Pivot Tables!ProductWise_TotalSales</c:name>
    <c:fmtId val="3"/>
  </c:pivotSource>
  <c:chart>
    <c:title>
      <c:tx>
        <c:rich>
          <a:bodyPr rot="0" spcFirstLastPara="1" vertOverflow="ellipsis" vert="horz" wrap="square" anchor="ctr" anchorCtr="1"/>
          <a:lstStyle/>
          <a:p>
            <a:pPr>
              <a:defRPr sz="1200" b="0" i="0" u="none" strike="noStrike" kern="1200" spc="0" baseline="0">
                <a:solidFill>
                  <a:schemeClr val="tx1"/>
                </a:solidFill>
                <a:latin typeface="Arial Rounded MT Bold" panose="020F0704030504030204" pitchFamily="34" charset="0"/>
                <a:ea typeface="+mn-ea"/>
                <a:cs typeface="+mn-cs"/>
              </a:defRPr>
            </a:pPr>
            <a:r>
              <a:rPr lang="en-US" sz="1200">
                <a:solidFill>
                  <a:schemeClr val="tx1"/>
                </a:solidFill>
                <a:latin typeface="Arial Rounded MT Bold" panose="020F0704030504030204" pitchFamily="34" charset="0"/>
              </a:rPr>
              <a:t>Productwise Total Actual Sales</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_ [$₹-44E]* #,##0_ ;_ [$₹-44E]* \-#,##0_ ;_ [$₹-44E]* &quot;-&quot;_ ;_ @_ " sourceLinked="0"/>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col"/>
        <c:grouping val="clustered"/>
        <c:varyColors val="0"/>
        <c:ser>
          <c:idx val="0"/>
          <c:order val="0"/>
          <c:tx>
            <c:strRef>
              <c:f>'Pivot Tables'!$B$17</c:f>
              <c:strCache>
                <c:ptCount val="1"/>
                <c:pt idx="0">
                  <c:v>Total</c:v>
                </c:pt>
              </c:strCache>
            </c:strRef>
          </c:tx>
          <c:spPr>
            <a:solidFill>
              <a:schemeClr val="accent1"/>
            </a:solidFill>
            <a:ln>
              <a:noFill/>
            </a:ln>
            <a:effectLst/>
          </c:spPr>
          <c:invertIfNegative val="0"/>
          <c:dLbls>
            <c:numFmt formatCode="_ [$₹-44E]* #,##0_ ;_ [$₹-44E]* \-#,##0_ ;_ [$₹-44E]* &quot;-&quot;_ ;_ @_ " sourceLinked="0"/>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Tables'!$A$18:$A$20</c:f>
              <c:strCache>
                <c:ptCount val="3"/>
                <c:pt idx="0">
                  <c:v>Air Conditioner</c:v>
                </c:pt>
                <c:pt idx="1">
                  <c:v>Solar Inverter</c:v>
                </c:pt>
                <c:pt idx="2">
                  <c:v>Water Purifier</c:v>
                </c:pt>
              </c:strCache>
            </c:strRef>
          </c:cat>
          <c:val>
            <c:numRef>
              <c:f>'Pivot Tables'!$B$18:$B$20</c:f>
              <c:numCache>
                <c:formatCode>General</c:formatCode>
                <c:ptCount val="3"/>
                <c:pt idx="0">
                  <c:v>4908000</c:v>
                </c:pt>
                <c:pt idx="1">
                  <c:v>4595000</c:v>
                </c:pt>
                <c:pt idx="2">
                  <c:v>2984000</c:v>
                </c:pt>
              </c:numCache>
            </c:numRef>
          </c:val>
          <c:extLst>
            <c:ext xmlns:c16="http://schemas.microsoft.com/office/drawing/2014/chart" uri="{C3380CC4-5D6E-409C-BE32-E72D297353CC}">
              <c16:uniqueId val="{00000000-6097-47BC-93F5-7C5E4C43F97B}"/>
            </c:ext>
          </c:extLst>
        </c:ser>
        <c:dLbls>
          <c:showLegendKey val="0"/>
          <c:showVal val="0"/>
          <c:showCatName val="0"/>
          <c:showSerName val="0"/>
          <c:showPercent val="0"/>
          <c:showBubbleSize val="0"/>
        </c:dLbls>
        <c:gapWidth val="219"/>
        <c:overlap val="-27"/>
        <c:axId val="424596680"/>
        <c:axId val="424601000"/>
      </c:barChart>
      <c:catAx>
        <c:axId val="424596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24601000"/>
        <c:crosses val="autoZero"/>
        <c:auto val="1"/>
        <c:lblAlgn val="ctr"/>
        <c:lblOffset val="100"/>
        <c:noMultiLvlLbl val="0"/>
      </c:catAx>
      <c:valAx>
        <c:axId val="424601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24596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Sales MIS Report.xlsx]Pivot Tables!Product_RegionWise_TotalSales</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Each Product Region Wise ActualSales</a:t>
            </a:r>
          </a:p>
        </c:rich>
      </c:tx>
      <c:layout>
        <c:manualLayout>
          <c:xMode val="edge"/>
          <c:yMode val="edge"/>
          <c:x val="0.36176066188676531"/>
          <c:y val="5.6018145416373054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Tables'!$B$24:$B$25</c:f>
              <c:strCache>
                <c:ptCount val="1"/>
                <c:pt idx="0">
                  <c:v>Air Conditioner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1"/>
            <c:invertIfNegative val="0"/>
            <c:bubble3D val="0"/>
            <c:extLst>
              <c:ext xmlns:c16="http://schemas.microsoft.com/office/drawing/2014/chart" uri="{C3380CC4-5D6E-409C-BE32-E72D297353CC}">
                <c16:uniqueId val="{00000001-5946-4AD7-8D0A-E882F2E47117}"/>
              </c:ext>
            </c:extLst>
          </c:dPt>
          <c:dPt>
            <c:idx val="2"/>
            <c:invertIfNegative val="0"/>
            <c:bubble3D val="0"/>
            <c:extLst>
              <c:ext xmlns:c16="http://schemas.microsoft.com/office/drawing/2014/chart" uri="{C3380CC4-5D6E-409C-BE32-E72D297353CC}">
                <c16:uniqueId val="{00000006-5946-4AD7-8D0A-E882F2E47117}"/>
              </c:ext>
            </c:extLst>
          </c:dPt>
          <c:dLbls>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946-4AD7-8D0A-E882F2E471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Tables'!$A$26:$A$35</c:f>
              <c:strCache>
                <c:ptCount val="10"/>
                <c:pt idx="0">
                  <c:v>Delhi</c:v>
                </c:pt>
                <c:pt idx="1">
                  <c:v>Goa</c:v>
                </c:pt>
                <c:pt idx="2">
                  <c:v>Gujarat</c:v>
                </c:pt>
                <c:pt idx="3">
                  <c:v>Haryana</c:v>
                </c:pt>
                <c:pt idx="4">
                  <c:v>Karnataka</c:v>
                </c:pt>
                <c:pt idx="5">
                  <c:v>Kerala</c:v>
                </c:pt>
                <c:pt idx="6">
                  <c:v>Maharashtra</c:v>
                </c:pt>
                <c:pt idx="7">
                  <c:v>Punjab</c:v>
                </c:pt>
                <c:pt idx="8">
                  <c:v>Tamil Nadu</c:v>
                </c:pt>
                <c:pt idx="9">
                  <c:v>Telangana</c:v>
                </c:pt>
              </c:strCache>
            </c:strRef>
          </c:cat>
          <c:val>
            <c:numRef>
              <c:f>'Pivot Tables'!$B$26:$B$35</c:f>
              <c:numCache>
                <c:formatCode>General</c:formatCode>
                <c:ptCount val="10"/>
                <c:pt idx="0">
                  <c:v>810000</c:v>
                </c:pt>
                <c:pt idx="1">
                  <c:v>150000</c:v>
                </c:pt>
                <c:pt idx="2">
                  <c:v>1550000</c:v>
                </c:pt>
                <c:pt idx="4">
                  <c:v>350000</c:v>
                </c:pt>
                <c:pt idx="5">
                  <c:v>273000</c:v>
                </c:pt>
                <c:pt idx="6">
                  <c:v>1105000</c:v>
                </c:pt>
                <c:pt idx="7">
                  <c:v>410000</c:v>
                </c:pt>
                <c:pt idx="8">
                  <c:v>260000</c:v>
                </c:pt>
              </c:numCache>
            </c:numRef>
          </c:val>
          <c:extLst>
            <c:ext xmlns:c16="http://schemas.microsoft.com/office/drawing/2014/chart" uri="{C3380CC4-5D6E-409C-BE32-E72D297353CC}">
              <c16:uniqueId val="{00000003-07F9-4523-8077-720627D6E69A}"/>
            </c:ext>
          </c:extLst>
        </c:ser>
        <c:ser>
          <c:idx val="1"/>
          <c:order val="1"/>
          <c:tx>
            <c:strRef>
              <c:f>'Pivot Tables'!$C$24:$C$25</c:f>
              <c:strCache>
                <c:ptCount val="1"/>
                <c:pt idx="0">
                  <c:v>Solar Inverter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Pt>
            <c:idx val="2"/>
            <c:invertIfNegative val="0"/>
            <c:bubble3D val="0"/>
            <c:extLst>
              <c:ext xmlns:c16="http://schemas.microsoft.com/office/drawing/2014/chart" uri="{C3380CC4-5D6E-409C-BE32-E72D297353CC}">
                <c16:uniqueId val="{00000003-5946-4AD7-8D0A-E882F2E47117}"/>
              </c:ext>
            </c:extLst>
          </c:dPt>
          <c:dPt>
            <c:idx val="4"/>
            <c:invertIfNegative val="0"/>
            <c:bubble3D val="0"/>
            <c:extLst>
              <c:ext xmlns:c16="http://schemas.microsoft.com/office/drawing/2014/chart" uri="{C3380CC4-5D6E-409C-BE32-E72D297353CC}">
                <c16:uniqueId val="{00000001-174E-47AA-97DC-5866F003FDAE}"/>
              </c:ext>
            </c:extLst>
          </c:dPt>
          <c:dPt>
            <c:idx val="6"/>
            <c:invertIfNegative val="0"/>
            <c:bubble3D val="0"/>
            <c:extLst>
              <c:ext xmlns:c16="http://schemas.microsoft.com/office/drawing/2014/chart" uri="{C3380CC4-5D6E-409C-BE32-E72D297353CC}">
                <c16:uniqueId val="{00000007-5946-4AD7-8D0A-E882F2E47117}"/>
              </c:ext>
            </c:extLst>
          </c:dPt>
          <c:dLbls>
            <c:dLbl>
              <c:idx val="4"/>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4E-47AA-97DC-5866F003FDAE}"/>
                </c:ext>
              </c:extLst>
            </c:dLbl>
            <c:dLbl>
              <c:idx val="6"/>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946-4AD7-8D0A-E882F2E471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Tables'!$A$26:$A$35</c:f>
              <c:strCache>
                <c:ptCount val="10"/>
                <c:pt idx="0">
                  <c:v>Delhi</c:v>
                </c:pt>
                <c:pt idx="1">
                  <c:v>Goa</c:v>
                </c:pt>
                <c:pt idx="2">
                  <c:v>Gujarat</c:v>
                </c:pt>
                <c:pt idx="3">
                  <c:v>Haryana</c:v>
                </c:pt>
                <c:pt idx="4">
                  <c:v>Karnataka</c:v>
                </c:pt>
                <c:pt idx="5">
                  <c:v>Kerala</c:v>
                </c:pt>
                <c:pt idx="6">
                  <c:v>Maharashtra</c:v>
                </c:pt>
                <c:pt idx="7">
                  <c:v>Punjab</c:v>
                </c:pt>
                <c:pt idx="8">
                  <c:v>Tamil Nadu</c:v>
                </c:pt>
                <c:pt idx="9">
                  <c:v>Telangana</c:v>
                </c:pt>
              </c:strCache>
            </c:strRef>
          </c:cat>
          <c:val>
            <c:numRef>
              <c:f>'Pivot Tables'!$C$26:$C$35</c:f>
              <c:numCache>
                <c:formatCode>General</c:formatCode>
                <c:ptCount val="10"/>
                <c:pt idx="0">
                  <c:v>95000</c:v>
                </c:pt>
                <c:pt idx="4">
                  <c:v>1135000</c:v>
                </c:pt>
                <c:pt idx="5">
                  <c:v>395000</c:v>
                </c:pt>
                <c:pt idx="6">
                  <c:v>2845000</c:v>
                </c:pt>
                <c:pt idx="7">
                  <c:v>125000</c:v>
                </c:pt>
              </c:numCache>
            </c:numRef>
          </c:val>
          <c:extLst>
            <c:ext xmlns:c16="http://schemas.microsoft.com/office/drawing/2014/chart" uri="{C3380CC4-5D6E-409C-BE32-E72D297353CC}">
              <c16:uniqueId val="{00000004-07F9-4523-8077-720627D6E69A}"/>
            </c:ext>
          </c:extLst>
        </c:ser>
        <c:ser>
          <c:idx val="2"/>
          <c:order val="2"/>
          <c:tx>
            <c:strRef>
              <c:f>'Pivot Tables'!$D$24:$D$25</c:f>
              <c:strCache>
                <c:ptCount val="1"/>
                <c:pt idx="0">
                  <c:v>Water Purifier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'Pivot Tables'!$A$26:$A$35</c:f>
              <c:strCache>
                <c:ptCount val="10"/>
                <c:pt idx="0">
                  <c:v>Delhi</c:v>
                </c:pt>
                <c:pt idx="1">
                  <c:v>Goa</c:v>
                </c:pt>
                <c:pt idx="2">
                  <c:v>Gujarat</c:v>
                </c:pt>
                <c:pt idx="3">
                  <c:v>Haryana</c:v>
                </c:pt>
                <c:pt idx="4">
                  <c:v>Karnataka</c:v>
                </c:pt>
                <c:pt idx="5">
                  <c:v>Kerala</c:v>
                </c:pt>
                <c:pt idx="6">
                  <c:v>Maharashtra</c:v>
                </c:pt>
                <c:pt idx="7">
                  <c:v>Punjab</c:v>
                </c:pt>
                <c:pt idx="8">
                  <c:v>Tamil Nadu</c:v>
                </c:pt>
                <c:pt idx="9">
                  <c:v>Telangana</c:v>
                </c:pt>
              </c:strCache>
            </c:strRef>
          </c:cat>
          <c:val>
            <c:numRef>
              <c:f>'Pivot Tables'!$D$26:$D$35</c:f>
              <c:numCache>
                <c:formatCode>General</c:formatCode>
                <c:ptCount val="10"/>
                <c:pt idx="0">
                  <c:v>614000</c:v>
                </c:pt>
                <c:pt idx="2">
                  <c:v>250000</c:v>
                </c:pt>
                <c:pt idx="3">
                  <c:v>85000</c:v>
                </c:pt>
                <c:pt idx="4">
                  <c:v>277000</c:v>
                </c:pt>
                <c:pt idx="5">
                  <c:v>261000</c:v>
                </c:pt>
                <c:pt idx="6">
                  <c:v>1153000</c:v>
                </c:pt>
                <c:pt idx="7">
                  <c:v>83000</c:v>
                </c:pt>
                <c:pt idx="8">
                  <c:v>95000</c:v>
                </c:pt>
                <c:pt idx="9">
                  <c:v>166000</c:v>
                </c:pt>
              </c:numCache>
            </c:numRef>
          </c:val>
          <c:extLst>
            <c:ext xmlns:c16="http://schemas.microsoft.com/office/drawing/2014/chart" uri="{C3380CC4-5D6E-409C-BE32-E72D297353CC}">
              <c16:uniqueId val="{00000005-07F9-4523-8077-720627D6E69A}"/>
            </c:ext>
          </c:extLst>
        </c:ser>
        <c:dLbls>
          <c:showLegendKey val="0"/>
          <c:showVal val="0"/>
          <c:showCatName val="0"/>
          <c:showSerName val="0"/>
          <c:showPercent val="0"/>
          <c:showBubbleSize val="0"/>
        </c:dLbls>
        <c:gapWidth val="100"/>
        <c:overlap val="-24"/>
        <c:axId val="874641160"/>
        <c:axId val="874641520"/>
      </c:barChart>
      <c:catAx>
        <c:axId val="87464116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74641520"/>
        <c:crosses val="autoZero"/>
        <c:auto val="1"/>
        <c:lblAlgn val="ctr"/>
        <c:lblOffset val="100"/>
        <c:noMultiLvlLbl val="0"/>
      </c:catAx>
      <c:valAx>
        <c:axId val="874641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74641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Sales MIS Report.xlsx]Pivot Tables!PivotTable2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solidFill>
                <a:latin typeface="Arial Rounded MT Bold" panose="020F0704030504030204" pitchFamily="34" charset="0"/>
              </a:rPr>
              <a:t>Product wise Total Status (%)</a:t>
            </a:r>
          </a:p>
        </c:rich>
      </c:tx>
      <c:layout>
        <c:manualLayout>
          <c:xMode val="edge"/>
          <c:yMode val="edge"/>
          <c:x val="0.21145679012345678"/>
          <c:y val="4.15045395590142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60000"/>
              <a:lumOff val="4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Tables'!$B$102:$B$104</c:f>
              <c:strCache>
                <c:ptCount val="1"/>
                <c:pt idx="0">
                  <c:v>Below Target -  MonthWise Status (%)</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Tables'!$A$105:$A$108</c:f>
              <c:strCache>
                <c:ptCount val="3"/>
                <c:pt idx="0">
                  <c:v>Air Conditioner</c:v>
                </c:pt>
                <c:pt idx="1">
                  <c:v>Solar Inverter</c:v>
                </c:pt>
                <c:pt idx="2">
                  <c:v>Water Purifier</c:v>
                </c:pt>
              </c:strCache>
            </c:strRef>
          </c:cat>
          <c:val>
            <c:numRef>
              <c:f>'Pivot Tables'!$B$105:$B$108</c:f>
              <c:numCache>
                <c:formatCode>0.00%</c:formatCode>
                <c:ptCount val="3"/>
                <c:pt idx="0">
                  <c:v>0.375</c:v>
                </c:pt>
                <c:pt idx="1">
                  <c:v>0.45454545454545453</c:v>
                </c:pt>
                <c:pt idx="2">
                  <c:v>0.41176470588235292</c:v>
                </c:pt>
              </c:numCache>
            </c:numRef>
          </c:val>
          <c:extLst>
            <c:ext xmlns:c16="http://schemas.microsoft.com/office/drawing/2014/chart" uri="{C3380CC4-5D6E-409C-BE32-E72D297353CC}">
              <c16:uniqueId val="{00000000-C618-40B3-9AC3-52A645A8A783}"/>
            </c:ext>
          </c:extLst>
        </c:ser>
        <c:ser>
          <c:idx val="2"/>
          <c:order val="2"/>
          <c:tx>
            <c:strRef>
              <c:f>'Pivot Tables'!$D$102:$D$104</c:f>
              <c:strCache>
                <c:ptCount val="1"/>
                <c:pt idx="0">
                  <c:v>Met Target -  MonthWise Status (%)</c:v>
                </c:pt>
              </c:strCache>
            </c:strRef>
          </c:tx>
          <c:spPr>
            <a:solidFill>
              <a:schemeClr val="accent5">
                <a:lumMod val="60000"/>
                <a:lumOff val="4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Tables'!$A$105:$A$108</c:f>
              <c:strCache>
                <c:ptCount val="3"/>
                <c:pt idx="0">
                  <c:v>Air Conditioner</c:v>
                </c:pt>
                <c:pt idx="1">
                  <c:v>Solar Inverter</c:v>
                </c:pt>
                <c:pt idx="2">
                  <c:v>Water Purifier</c:v>
                </c:pt>
              </c:strCache>
            </c:strRef>
          </c:cat>
          <c:val>
            <c:numRef>
              <c:f>'Pivot Tables'!$D$105:$D$108</c:f>
              <c:numCache>
                <c:formatCode>0.00%</c:formatCode>
                <c:ptCount val="3"/>
                <c:pt idx="0">
                  <c:v>0.625</c:v>
                </c:pt>
                <c:pt idx="1">
                  <c:v>0.54545454545454541</c:v>
                </c:pt>
                <c:pt idx="2">
                  <c:v>0.58823529411764708</c:v>
                </c:pt>
              </c:numCache>
            </c:numRef>
          </c:val>
          <c:extLst>
            <c:ext xmlns:c16="http://schemas.microsoft.com/office/drawing/2014/chart" uri="{C3380CC4-5D6E-409C-BE32-E72D297353CC}">
              <c16:uniqueId val="{00000001-C618-40B3-9AC3-52A645A8A783}"/>
            </c:ext>
          </c:extLst>
        </c:ser>
        <c:dLbls>
          <c:showLegendKey val="0"/>
          <c:showVal val="0"/>
          <c:showCatName val="0"/>
          <c:showSerName val="0"/>
          <c:showPercent val="0"/>
          <c:showBubbleSize val="0"/>
        </c:dLbls>
        <c:gapWidth val="219"/>
        <c:axId val="943774688"/>
        <c:axId val="943775768"/>
      </c:barChart>
      <c:lineChart>
        <c:grouping val="standard"/>
        <c:varyColors val="0"/>
        <c:ser>
          <c:idx val="1"/>
          <c:order val="1"/>
          <c:tx>
            <c:strRef>
              <c:f>'Pivot Tables'!$C$102:$C$104</c:f>
              <c:strCache>
                <c:ptCount val="1"/>
                <c:pt idx="0">
                  <c:v>Below Target - Count of Status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Tables'!$A$105:$A$108</c:f>
              <c:strCache>
                <c:ptCount val="3"/>
                <c:pt idx="0">
                  <c:v>Air Conditioner</c:v>
                </c:pt>
                <c:pt idx="1">
                  <c:v>Solar Inverter</c:v>
                </c:pt>
                <c:pt idx="2">
                  <c:v>Water Purifier</c:v>
                </c:pt>
              </c:strCache>
            </c:strRef>
          </c:cat>
          <c:val>
            <c:numRef>
              <c:f>'Pivot Tables'!$C$105:$C$108</c:f>
              <c:numCache>
                <c:formatCode>General</c:formatCode>
                <c:ptCount val="3"/>
                <c:pt idx="0">
                  <c:v>12</c:v>
                </c:pt>
                <c:pt idx="1">
                  <c:v>15</c:v>
                </c:pt>
                <c:pt idx="2">
                  <c:v>14</c:v>
                </c:pt>
              </c:numCache>
            </c:numRef>
          </c:val>
          <c:smooth val="0"/>
          <c:extLst>
            <c:ext xmlns:c16="http://schemas.microsoft.com/office/drawing/2014/chart" uri="{C3380CC4-5D6E-409C-BE32-E72D297353CC}">
              <c16:uniqueId val="{00000002-C618-40B3-9AC3-52A645A8A783}"/>
            </c:ext>
          </c:extLst>
        </c:ser>
        <c:ser>
          <c:idx val="3"/>
          <c:order val="3"/>
          <c:tx>
            <c:strRef>
              <c:f>'Pivot Tables'!$E$102:$E$104</c:f>
              <c:strCache>
                <c:ptCount val="1"/>
                <c:pt idx="0">
                  <c:v>Met Target - Count of Status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Tables'!$A$105:$A$108</c:f>
              <c:strCache>
                <c:ptCount val="3"/>
                <c:pt idx="0">
                  <c:v>Air Conditioner</c:v>
                </c:pt>
                <c:pt idx="1">
                  <c:v>Solar Inverter</c:v>
                </c:pt>
                <c:pt idx="2">
                  <c:v>Water Purifier</c:v>
                </c:pt>
              </c:strCache>
            </c:strRef>
          </c:cat>
          <c:val>
            <c:numRef>
              <c:f>'Pivot Tables'!$E$105:$E$108</c:f>
              <c:numCache>
                <c:formatCode>General</c:formatCode>
                <c:ptCount val="3"/>
                <c:pt idx="0">
                  <c:v>20</c:v>
                </c:pt>
                <c:pt idx="1">
                  <c:v>18</c:v>
                </c:pt>
                <c:pt idx="2">
                  <c:v>20</c:v>
                </c:pt>
              </c:numCache>
            </c:numRef>
          </c:val>
          <c:smooth val="0"/>
          <c:extLst>
            <c:ext xmlns:c16="http://schemas.microsoft.com/office/drawing/2014/chart" uri="{C3380CC4-5D6E-409C-BE32-E72D297353CC}">
              <c16:uniqueId val="{00000003-C618-40B3-9AC3-52A645A8A783}"/>
            </c:ext>
          </c:extLst>
        </c:ser>
        <c:dLbls>
          <c:showLegendKey val="0"/>
          <c:showVal val="0"/>
          <c:showCatName val="0"/>
          <c:showSerName val="0"/>
          <c:showPercent val="0"/>
          <c:showBubbleSize val="0"/>
        </c:dLbls>
        <c:marker val="1"/>
        <c:smooth val="0"/>
        <c:axId val="878700552"/>
        <c:axId val="878699112"/>
      </c:lineChart>
      <c:catAx>
        <c:axId val="94377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43775768"/>
        <c:crosses val="autoZero"/>
        <c:auto val="1"/>
        <c:lblAlgn val="ctr"/>
        <c:lblOffset val="100"/>
        <c:noMultiLvlLbl val="0"/>
      </c:catAx>
      <c:valAx>
        <c:axId val="9437757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43774688"/>
        <c:crosses val="autoZero"/>
        <c:crossBetween val="between"/>
      </c:valAx>
      <c:valAx>
        <c:axId val="87869911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78700552"/>
        <c:crosses val="max"/>
        <c:crossBetween val="between"/>
      </c:valAx>
      <c:catAx>
        <c:axId val="878700552"/>
        <c:scaling>
          <c:orientation val="minMax"/>
        </c:scaling>
        <c:delete val="1"/>
        <c:axPos val="b"/>
        <c:numFmt formatCode="General" sourceLinked="1"/>
        <c:majorTickMark val="out"/>
        <c:minorTickMark val="none"/>
        <c:tickLblPos val="nextTo"/>
        <c:crossAx val="8786991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Sales MIS Report.xlsx]Pivot Tables!Product_MonthWise Variance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tx1"/>
                </a:solidFill>
                <a:latin typeface="Arial Rounded MT Bold" panose="020F0704030504030204" pitchFamily="34" charset="0"/>
              </a:rPr>
              <a:t>Monthly Each Product Variance(%) in Target And Actual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Tables'!$B$70:$B$71</c:f>
              <c:strCache>
                <c:ptCount val="1"/>
                <c:pt idx="0">
                  <c:v>Air Conditioner</c:v>
                </c:pt>
              </c:strCache>
            </c:strRef>
          </c:tx>
          <c:spPr>
            <a:ln w="28575" cap="rnd">
              <a:solidFill>
                <a:schemeClr val="accent1"/>
              </a:solidFill>
              <a:round/>
            </a:ln>
            <a:effectLst/>
          </c:spPr>
          <c:marker>
            <c:symbol val="none"/>
          </c:marker>
          <c:cat>
            <c:strRef>
              <c:f>'Pivot Tables'!$A$72:$A$76</c:f>
              <c:strCache>
                <c:ptCount val="5"/>
                <c:pt idx="0">
                  <c:v>January</c:v>
                </c:pt>
                <c:pt idx="1">
                  <c:v>February</c:v>
                </c:pt>
                <c:pt idx="2">
                  <c:v>March</c:v>
                </c:pt>
                <c:pt idx="3">
                  <c:v>April</c:v>
                </c:pt>
                <c:pt idx="4">
                  <c:v>May</c:v>
                </c:pt>
              </c:strCache>
            </c:strRef>
          </c:cat>
          <c:val>
            <c:numRef>
              <c:f>'Pivot Tables'!$B$72:$B$76</c:f>
              <c:numCache>
                <c:formatCode>0.00%</c:formatCode>
                <c:ptCount val="5"/>
                <c:pt idx="0">
                  <c:v>-0.134663095189411</c:v>
                </c:pt>
                <c:pt idx="1">
                  <c:v>9.6381072418972535E-2</c:v>
                </c:pt>
                <c:pt idx="2">
                  <c:v>5.4408696142567103E-2</c:v>
                </c:pt>
                <c:pt idx="3">
                  <c:v>0.18930737984343293</c:v>
                </c:pt>
                <c:pt idx="4">
                  <c:v>8.8881461675579351E-2</c:v>
                </c:pt>
              </c:numCache>
            </c:numRef>
          </c:val>
          <c:smooth val="0"/>
          <c:extLst>
            <c:ext xmlns:c16="http://schemas.microsoft.com/office/drawing/2014/chart" uri="{C3380CC4-5D6E-409C-BE32-E72D297353CC}">
              <c16:uniqueId val="{00000000-C456-42CC-B237-7E6DD0FB05FF}"/>
            </c:ext>
          </c:extLst>
        </c:ser>
        <c:ser>
          <c:idx val="1"/>
          <c:order val="1"/>
          <c:tx>
            <c:strRef>
              <c:f>'Pivot Tables'!$C$70:$C$71</c:f>
              <c:strCache>
                <c:ptCount val="1"/>
                <c:pt idx="0">
                  <c:v>Solar Inverter</c:v>
                </c:pt>
              </c:strCache>
            </c:strRef>
          </c:tx>
          <c:spPr>
            <a:ln w="28575" cap="rnd">
              <a:solidFill>
                <a:schemeClr val="accent2"/>
              </a:solidFill>
              <a:round/>
            </a:ln>
            <a:effectLst/>
          </c:spPr>
          <c:marker>
            <c:symbol val="none"/>
          </c:marker>
          <c:cat>
            <c:strRef>
              <c:f>'Pivot Tables'!$A$72:$A$76</c:f>
              <c:strCache>
                <c:ptCount val="5"/>
                <c:pt idx="0">
                  <c:v>January</c:v>
                </c:pt>
                <c:pt idx="1">
                  <c:v>February</c:v>
                </c:pt>
                <c:pt idx="2">
                  <c:v>March</c:v>
                </c:pt>
                <c:pt idx="3">
                  <c:v>April</c:v>
                </c:pt>
                <c:pt idx="4">
                  <c:v>May</c:v>
                </c:pt>
              </c:strCache>
            </c:strRef>
          </c:cat>
          <c:val>
            <c:numRef>
              <c:f>'Pivot Tables'!$C$72:$C$76</c:f>
              <c:numCache>
                <c:formatCode>0.00%</c:formatCode>
                <c:ptCount val="5"/>
                <c:pt idx="0">
                  <c:v>0.10270088093457656</c:v>
                </c:pt>
                <c:pt idx="1">
                  <c:v>-9.7184642207525498E-2</c:v>
                </c:pt>
                <c:pt idx="2">
                  <c:v>0.12770773954984482</c:v>
                </c:pt>
                <c:pt idx="3">
                  <c:v>-3.3995314280042543E-3</c:v>
                </c:pt>
                <c:pt idx="4">
                  <c:v>0.12270507693848655</c:v>
                </c:pt>
              </c:numCache>
            </c:numRef>
          </c:val>
          <c:smooth val="0"/>
          <c:extLst>
            <c:ext xmlns:c16="http://schemas.microsoft.com/office/drawing/2014/chart" uri="{C3380CC4-5D6E-409C-BE32-E72D297353CC}">
              <c16:uniqueId val="{00000001-C456-42CC-B237-7E6DD0FB05FF}"/>
            </c:ext>
          </c:extLst>
        </c:ser>
        <c:ser>
          <c:idx val="2"/>
          <c:order val="2"/>
          <c:tx>
            <c:strRef>
              <c:f>'Pivot Tables'!$D$70:$D$71</c:f>
              <c:strCache>
                <c:ptCount val="1"/>
                <c:pt idx="0">
                  <c:v>Water Purifier</c:v>
                </c:pt>
              </c:strCache>
            </c:strRef>
          </c:tx>
          <c:spPr>
            <a:ln w="28575" cap="rnd">
              <a:solidFill>
                <a:schemeClr val="accent3"/>
              </a:solidFill>
              <a:round/>
            </a:ln>
            <a:effectLst/>
          </c:spPr>
          <c:marker>
            <c:symbol val="none"/>
          </c:marker>
          <c:cat>
            <c:strRef>
              <c:f>'Pivot Tables'!$A$72:$A$76</c:f>
              <c:strCache>
                <c:ptCount val="5"/>
                <c:pt idx="0">
                  <c:v>January</c:v>
                </c:pt>
                <c:pt idx="1">
                  <c:v>February</c:v>
                </c:pt>
                <c:pt idx="2">
                  <c:v>March</c:v>
                </c:pt>
                <c:pt idx="3">
                  <c:v>April</c:v>
                </c:pt>
                <c:pt idx="4">
                  <c:v>May</c:v>
                </c:pt>
              </c:strCache>
            </c:strRef>
          </c:cat>
          <c:val>
            <c:numRef>
              <c:f>'Pivot Tables'!$D$72:$D$76</c:f>
              <c:numCache>
                <c:formatCode>0.00%</c:formatCode>
                <c:ptCount val="5"/>
                <c:pt idx="0">
                  <c:v>-5.3295180948633641E-2</c:v>
                </c:pt>
                <c:pt idx="1">
                  <c:v>2.7404906418003458E-2</c:v>
                </c:pt>
                <c:pt idx="2">
                  <c:v>-4.2203508199489669E-2</c:v>
                </c:pt>
                <c:pt idx="3">
                  <c:v>1.4483292616177392E-2</c:v>
                </c:pt>
                <c:pt idx="4">
                  <c:v>5.6143274173964669E-3</c:v>
                </c:pt>
              </c:numCache>
            </c:numRef>
          </c:val>
          <c:smooth val="0"/>
          <c:extLst>
            <c:ext xmlns:c16="http://schemas.microsoft.com/office/drawing/2014/chart" uri="{C3380CC4-5D6E-409C-BE32-E72D297353CC}">
              <c16:uniqueId val="{00000002-C456-42CC-B237-7E6DD0FB05FF}"/>
            </c:ext>
          </c:extLst>
        </c:ser>
        <c:dLbls>
          <c:showLegendKey val="0"/>
          <c:showVal val="0"/>
          <c:showCatName val="0"/>
          <c:showSerName val="0"/>
          <c:showPercent val="0"/>
          <c:showBubbleSize val="0"/>
        </c:dLbls>
        <c:smooth val="0"/>
        <c:axId val="1017188168"/>
        <c:axId val="1017198248"/>
      </c:lineChart>
      <c:catAx>
        <c:axId val="1017188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7198248"/>
        <c:crosses val="autoZero"/>
        <c:auto val="1"/>
        <c:lblAlgn val="ctr"/>
        <c:lblOffset val="100"/>
        <c:noMultiLvlLbl val="0"/>
      </c:catAx>
      <c:valAx>
        <c:axId val="10171982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7188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Sales MIS Report.xlsx]Pivot Tables!PivotTable5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Arial Rounded MT Bold" panose="020F0704030504030204" pitchFamily="34" charset="0"/>
              </a:rPr>
              <a:t>Region Wise Each Product Max and Min of Achivement(%)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732797606327464E-2"/>
          <c:y val="0.18737405118225814"/>
          <c:w val="0.79888217497881198"/>
          <c:h val="0.41105875370636591"/>
        </c:manualLayout>
      </c:layout>
      <c:barChart>
        <c:barDir val="col"/>
        <c:grouping val="clustered"/>
        <c:varyColors val="0"/>
        <c:ser>
          <c:idx val="0"/>
          <c:order val="0"/>
          <c:tx>
            <c:strRef>
              <c:f>'Pivot Tables'!$B$115:$B$117</c:f>
              <c:strCache>
                <c:ptCount val="1"/>
                <c:pt idx="0">
                  <c:v>Air Conditioner - Max of Achivement(%)</c:v>
                </c:pt>
              </c:strCache>
            </c:strRef>
          </c:tx>
          <c:spPr>
            <a:solidFill>
              <a:schemeClr val="accent1">
                <a:lumMod val="75000"/>
              </a:schemeClr>
            </a:solidFill>
            <a:ln>
              <a:noFill/>
            </a:ln>
            <a:effectLst/>
          </c:spPr>
          <c:invertIfNegative val="0"/>
          <c:cat>
            <c:strRef>
              <c:f>'Pivot Tables'!$A$118:$A$128</c:f>
              <c:strCache>
                <c:ptCount val="10"/>
                <c:pt idx="0">
                  <c:v>Delhi</c:v>
                </c:pt>
                <c:pt idx="1">
                  <c:v>Goa</c:v>
                </c:pt>
                <c:pt idx="2">
                  <c:v>Gujarat</c:v>
                </c:pt>
                <c:pt idx="3">
                  <c:v>Haryana</c:v>
                </c:pt>
                <c:pt idx="4">
                  <c:v>Karnataka</c:v>
                </c:pt>
                <c:pt idx="5">
                  <c:v>Kerala</c:v>
                </c:pt>
                <c:pt idx="6">
                  <c:v>Maharashtra</c:v>
                </c:pt>
                <c:pt idx="7">
                  <c:v>Punjab</c:v>
                </c:pt>
                <c:pt idx="8">
                  <c:v>Tamil Nadu</c:v>
                </c:pt>
                <c:pt idx="9">
                  <c:v>Telangana</c:v>
                </c:pt>
              </c:strCache>
            </c:strRef>
          </c:cat>
          <c:val>
            <c:numRef>
              <c:f>'Pivot Tables'!$B$118:$B$128</c:f>
              <c:numCache>
                <c:formatCode>0%</c:formatCode>
                <c:ptCount val="10"/>
                <c:pt idx="0">
                  <c:v>1.0666666666666667</c:v>
                </c:pt>
                <c:pt idx="1">
                  <c:v>1.0344827586206897</c:v>
                </c:pt>
                <c:pt idx="2">
                  <c:v>1.096774193548387</c:v>
                </c:pt>
                <c:pt idx="4">
                  <c:v>1.0857142857142856</c:v>
                </c:pt>
                <c:pt idx="5">
                  <c:v>0.9642857142857143</c:v>
                </c:pt>
                <c:pt idx="6">
                  <c:v>1.0588235294117647</c:v>
                </c:pt>
                <c:pt idx="7">
                  <c:v>1.0769230769230769</c:v>
                </c:pt>
                <c:pt idx="8">
                  <c:v>1.037037037037037</c:v>
                </c:pt>
              </c:numCache>
            </c:numRef>
          </c:val>
          <c:extLst>
            <c:ext xmlns:c16="http://schemas.microsoft.com/office/drawing/2014/chart" uri="{C3380CC4-5D6E-409C-BE32-E72D297353CC}">
              <c16:uniqueId val="{00000000-2700-4E6C-BF24-3A3A3976591A}"/>
            </c:ext>
          </c:extLst>
        </c:ser>
        <c:ser>
          <c:idx val="2"/>
          <c:order val="2"/>
          <c:tx>
            <c:strRef>
              <c:f>'Pivot Tables'!$D$115:$D$117</c:f>
              <c:strCache>
                <c:ptCount val="1"/>
                <c:pt idx="0">
                  <c:v>Solar Inverter - Max of Achivement(%)</c:v>
                </c:pt>
              </c:strCache>
            </c:strRef>
          </c:tx>
          <c:spPr>
            <a:solidFill>
              <a:schemeClr val="accent1">
                <a:lumMod val="40000"/>
                <a:lumOff val="60000"/>
              </a:schemeClr>
            </a:solidFill>
            <a:ln>
              <a:noFill/>
            </a:ln>
            <a:effectLst/>
          </c:spPr>
          <c:invertIfNegative val="0"/>
          <c:cat>
            <c:strRef>
              <c:f>'Pivot Tables'!$A$118:$A$128</c:f>
              <c:strCache>
                <c:ptCount val="10"/>
                <c:pt idx="0">
                  <c:v>Delhi</c:v>
                </c:pt>
                <c:pt idx="1">
                  <c:v>Goa</c:v>
                </c:pt>
                <c:pt idx="2">
                  <c:v>Gujarat</c:v>
                </c:pt>
                <c:pt idx="3">
                  <c:v>Haryana</c:v>
                </c:pt>
                <c:pt idx="4">
                  <c:v>Karnataka</c:v>
                </c:pt>
                <c:pt idx="5">
                  <c:v>Kerala</c:v>
                </c:pt>
                <c:pt idx="6">
                  <c:v>Maharashtra</c:v>
                </c:pt>
                <c:pt idx="7">
                  <c:v>Punjab</c:v>
                </c:pt>
                <c:pt idx="8">
                  <c:v>Tamil Nadu</c:v>
                </c:pt>
                <c:pt idx="9">
                  <c:v>Telangana</c:v>
                </c:pt>
              </c:strCache>
            </c:strRef>
          </c:cat>
          <c:val>
            <c:numRef>
              <c:f>'Pivot Tables'!$D$118:$D$128</c:f>
              <c:numCache>
                <c:formatCode>0%</c:formatCode>
                <c:ptCount val="10"/>
                <c:pt idx="0">
                  <c:v>0.90476190476190477</c:v>
                </c:pt>
                <c:pt idx="4">
                  <c:v>1.05</c:v>
                </c:pt>
                <c:pt idx="5">
                  <c:v>0.97297297297297303</c:v>
                </c:pt>
                <c:pt idx="6">
                  <c:v>1.0833333333333333</c:v>
                </c:pt>
                <c:pt idx="7">
                  <c:v>1.1363636363636365</c:v>
                </c:pt>
              </c:numCache>
            </c:numRef>
          </c:val>
          <c:extLst>
            <c:ext xmlns:c16="http://schemas.microsoft.com/office/drawing/2014/chart" uri="{C3380CC4-5D6E-409C-BE32-E72D297353CC}">
              <c16:uniqueId val="{00000001-2700-4E6C-BF24-3A3A3976591A}"/>
            </c:ext>
          </c:extLst>
        </c:ser>
        <c:ser>
          <c:idx val="4"/>
          <c:order val="4"/>
          <c:tx>
            <c:strRef>
              <c:f>'Pivot Tables'!$F$115:$F$117</c:f>
              <c:strCache>
                <c:ptCount val="1"/>
                <c:pt idx="0">
                  <c:v>Water Purifier - Max of Achivement(%)</c:v>
                </c:pt>
              </c:strCache>
            </c:strRef>
          </c:tx>
          <c:spPr>
            <a:solidFill>
              <a:schemeClr val="accent1">
                <a:lumMod val="60000"/>
                <a:lumOff val="40000"/>
              </a:schemeClr>
            </a:solidFill>
            <a:ln>
              <a:noFill/>
            </a:ln>
            <a:effectLst/>
          </c:spPr>
          <c:invertIfNegative val="0"/>
          <c:cat>
            <c:strRef>
              <c:f>'Pivot Tables'!$A$118:$A$128</c:f>
              <c:strCache>
                <c:ptCount val="10"/>
                <c:pt idx="0">
                  <c:v>Delhi</c:v>
                </c:pt>
                <c:pt idx="1">
                  <c:v>Goa</c:v>
                </c:pt>
                <c:pt idx="2">
                  <c:v>Gujarat</c:v>
                </c:pt>
                <c:pt idx="3">
                  <c:v>Haryana</c:v>
                </c:pt>
                <c:pt idx="4">
                  <c:v>Karnataka</c:v>
                </c:pt>
                <c:pt idx="5">
                  <c:v>Kerala</c:v>
                </c:pt>
                <c:pt idx="6">
                  <c:v>Maharashtra</c:v>
                </c:pt>
                <c:pt idx="7">
                  <c:v>Punjab</c:v>
                </c:pt>
                <c:pt idx="8">
                  <c:v>Tamil Nadu</c:v>
                </c:pt>
                <c:pt idx="9">
                  <c:v>Telangana</c:v>
                </c:pt>
              </c:strCache>
            </c:strRef>
          </c:cat>
          <c:val>
            <c:numRef>
              <c:f>'Pivot Tables'!$F$118:$F$128</c:f>
              <c:numCache>
                <c:formatCode>0%</c:formatCode>
                <c:ptCount val="10"/>
                <c:pt idx="0">
                  <c:v>1.0555555555555556</c:v>
                </c:pt>
                <c:pt idx="2">
                  <c:v>1.0823529411764705</c:v>
                </c:pt>
                <c:pt idx="3">
                  <c:v>1.0365853658536586</c:v>
                </c:pt>
                <c:pt idx="4">
                  <c:v>1</c:v>
                </c:pt>
                <c:pt idx="5">
                  <c:v>1.0454545454545454</c:v>
                </c:pt>
                <c:pt idx="6">
                  <c:v>1.05</c:v>
                </c:pt>
                <c:pt idx="7">
                  <c:v>0.97647058823529409</c:v>
                </c:pt>
                <c:pt idx="8">
                  <c:v>1</c:v>
                </c:pt>
                <c:pt idx="9">
                  <c:v>1.0111111111111111</c:v>
                </c:pt>
              </c:numCache>
            </c:numRef>
          </c:val>
          <c:extLst>
            <c:ext xmlns:c16="http://schemas.microsoft.com/office/drawing/2014/chart" uri="{C3380CC4-5D6E-409C-BE32-E72D297353CC}">
              <c16:uniqueId val="{00000002-2700-4E6C-BF24-3A3A3976591A}"/>
            </c:ext>
          </c:extLst>
        </c:ser>
        <c:dLbls>
          <c:showLegendKey val="0"/>
          <c:showVal val="0"/>
          <c:showCatName val="0"/>
          <c:showSerName val="0"/>
          <c:showPercent val="0"/>
          <c:showBubbleSize val="0"/>
        </c:dLbls>
        <c:gapWidth val="219"/>
        <c:axId val="963567416"/>
        <c:axId val="963568136"/>
      </c:barChart>
      <c:lineChart>
        <c:grouping val="standard"/>
        <c:varyColors val="0"/>
        <c:ser>
          <c:idx val="1"/>
          <c:order val="1"/>
          <c:tx>
            <c:strRef>
              <c:f>'Pivot Tables'!$C$115:$C$117</c:f>
              <c:strCache>
                <c:ptCount val="1"/>
                <c:pt idx="0">
                  <c:v>Air Conditioner - Min of Achivement(%)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Tables'!$A$118:$A$128</c:f>
              <c:strCache>
                <c:ptCount val="10"/>
                <c:pt idx="0">
                  <c:v>Delhi</c:v>
                </c:pt>
                <c:pt idx="1">
                  <c:v>Goa</c:v>
                </c:pt>
                <c:pt idx="2">
                  <c:v>Gujarat</c:v>
                </c:pt>
                <c:pt idx="3">
                  <c:v>Haryana</c:v>
                </c:pt>
                <c:pt idx="4">
                  <c:v>Karnataka</c:v>
                </c:pt>
                <c:pt idx="5">
                  <c:v>Kerala</c:v>
                </c:pt>
                <c:pt idx="6">
                  <c:v>Maharashtra</c:v>
                </c:pt>
                <c:pt idx="7">
                  <c:v>Punjab</c:v>
                </c:pt>
                <c:pt idx="8">
                  <c:v>Tamil Nadu</c:v>
                </c:pt>
                <c:pt idx="9">
                  <c:v>Telangana</c:v>
                </c:pt>
              </c:strCache>
            </c:strRef>
          </c:cat>
          <c:val>
            <c:numRef>
              <c:f>'Pivot Tables'!$C$118:$C$128</c:f>
              <c:numCache>
                <c:formatCode>0%</c:formatCode>
                <c:ptCount val="10"/>
                <c:pt idx="0">
                  <c:v>1.032258064516129</c:v>
                </c:pt>
                <c:pt idx="1">
                  <c:v>1.0344827586206897</c:v>
                </c:pt>
                <c:pt idx="2">
                  <c:v>0.96551724137931039</c:v>
                </c:pt>
                <c:pt idx="4">
                  <c:v>0.96969696969696972</c:v>
                </c:pt>
                <c:pt idx="5">
                  <c:v>0.9517241379310345</c:v>
                </c:pt>
                <c:pt idx="6">
                  <c:v>0.8666666666666667</c:v>
                </c:pt>
                <c:pt idx="7">
                  <c:v>0.96296296296296291</c:v>
                </c:pt>
                <c:pt idx="8">
                  <c:v>0.92307692307692313</c:v>
                </c:pt>
              </c:numCache>
            </c:numRef>
          </c:val>
          <c:smooth val="0"/>
          <c:extLst>
            <c:ext xmlns:c16="http://schemas.microsoft.com/office/drawing/2014/chart" uri="{C3380CC4-5D6E-409C-BE32-E72D297353CC}">
              <c16:uniqueId val="{00000003-2700-4E6C-BF24-3A3A3976591A}"/>
            </c:ext>
          </c:extLst>
        </c:ser>
        <c:ser>
          <c:idx val="3"/>
          <c:order val="3"/>
          <c:tx>
            <c:strRef>
              <c:f>'Pivot Tables'!$E$115:$E$117</c:f>
              <c:strCache>
                <c:ptCount val="1"/>
                <c:pt idx="0">
                  <c:v>Solar Inverter - Min of Achivement(%)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Tables'!$A$118:$A$128</c:f>
              <c:strCache>
                <c:ptCount val="10"/>
                <c:pt idx="0">
                  <c:v>Delhi</c:v>
                </c:pt>
                <c:pt idx="1">
                  <c:v>Goa</c:v>
                </c:pt>
                <c:pt idx="2">
                  <c:v>Gujarat</c:v>
                </c:pt>
                <c:pt idx="3">
                  <c:v>Haryana</c:v>
                </c:pt>
                <c:pt idx="4">
                  <c:v>Karnataka</c:v>
                </c:pt>
                <c:pt idx="5">
                  <c:v>Kerala</c:v>
                </c:pt>
                <c:pt idx="6">
                  <c:v>Maharashtra</c:v>
                </c:pt>
                <c:pt idx="7">
                  <c:v>Punjab</c:v>
                </c:pt>
                <c:pt idx="8">
                  <c:v>Tamil Nadu</c:v>
                </c:pt>
                <c:pt idx="9">
                  <c:v>Telangana</c:v>
                </c:pt>
              </c:strCache>
            </c:strRef>
          </c:cat>
          <c:val>
            <c:numRef>
              <c:f>'Pivot Tables'!$E$118:$E$128</c:f>
              <c:numCache>
                <c:formatCode>0%</c:formatCode>
                <c:ptCount val="10"/>
                <c:pt idx="0">
                  <c:v>0.90476190476190477</c:v>
                </c:pt>
                <c:pt idx="4">
                  <c:v>0.97222222222222221</c:v>
                </c:pt>
                <c:pt idx="5">
                  <c:v>0.95454545454545459</c:v>
                </c:pt>
                <c:pt idx="6">
                  <c:v>0.95652173913043481</c:v>
                </c:pt>
                <c:pt idx="7">
                  <c:v>1.1363636363636365</c:v>
                </c:pt>
              </c:numCache>
            </c:numRef>
          </c:val>
          <c:smooth val="0"/>
          <c:extLst>
            <c:ext xmlns:c16="http://schemas.microsoft.com/office/drawing/2014/chart" uri="{C3380CC4-5D6E-409C-BE32-E72D297353CC}">
              <c16:uniqueId val="{00000004-2700-4E6C-BF24-3A3A3976591A}"/>
            </c:ext>
          </c:extLst>
        </c:ser>
        <c:ser>
          <c:idx val="5"/>
          <c:order val="5"/>
          <c:tx>
            <c:strRef>
              <c:f>'Pivot Tables'!$G$115:$G$117</c:f>
              <c:strCache>
                <c:ptCount val="1"/>
                <c:pt idx="0">
                  <c:v>Water Purifier - Min of Achivement(%)</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Tables'!$A$118:$A$128</c:f>
              <c:strCache>
                <c:ptCount val="10"/>
                <c:pt idx="0">
                  <c:v>Delhi</c:v>
                </c:pt>
                <c:pt idx="1">
                  <c:v>Goa</c:v>
                </c:pt>
                <c:pt idx="2">
                  <c:v>Gujarat</c:v>
                </c:pt>
                <c:pt idx="3">
                  <c:v>Haryana</c:v>
                </c:pt>
                <c:pt idx="4">
                  <c:v>Karnataka</c:v>
                </c:pt>
                <c:pt idx="5">
                  <c:v>Kerala</c:v>
                </c:pt>
                <c:pt idx="6">
                  <c:v>Maharashtra</c:v>
                </c:pt>
                <c:pt idx="7">
                  <c:v>Punjab</c:v>
                </c:pt>
                <c:pt idx="8">
                  <c:v>Tamil Nadu</c:v>
                </c:pt>
                <c:pt idx="9">
                  <c:v>Telangana</c:v>
                </c:pt>
              </c:strCache>
            </c:strRef>
          </c:cat>
          <c:val>
            <c:numRef>
              <c:f>'Pivot Tables'!$G$118:$G$128</c:f>
              <c:numCache>
                <c:formatCode>0%</c:formatCode>
                <c:ptCount val="10"/>
                <c:pt idx="0">
                  <c:v>0.94444444444444442</c:v>
                </c:pt>
                <c:pt idx="2">
                  <c:v>0.94117647058823528</c:v>
                </c:pt>
                <c:pt idx="3">
                  <c:v>1.0365853658536586</c:v>
                </c:pt>
                <c:pt idx="4">
                  <c:v>0.96842105263157896</c:v>
                </c:pt>
                <c:pt idx="5">
                  <c:v>1.024390243902439</c:v>
                </c:pt>
                <c:pt idx="6">
                  <c:v>0.96470588235294119</c:v>
                </c:pt>
                <c:pt idx="7">
                  <c:v>0.97647058823529409</c:v>
                </c:pt>
                <c:pt idx="8">
                  <c:v>1</c:v>
                </c:pt>
                <c:pt idx="9">
                  <c:v>0.9375</c:v>
                </c:pt>
              </c:numCache>
            </c:numRef>
          </c:val>
          <c:smooth val="0"/>
          <c:extLst>
            <c:ext xmlns:c16="http://schemas.microsoft.com/office/drawing/2014/chart" uri="{C3380CC4-5D6E-409C-BE32-E72D297353CC}">
              <c16:uniqueId val="{00000005-2700-4E6C-BF24-3A3A3976591A}"/>
            </c:ext>
          </c:extLst>
        </c:ser>
        <c:dLbls>
          <c:showLegendKey val="0"/>
          <c:showVal val="0"/>
          <c:showCatName val="0"/>
          <c:showSerName val="0"/>
          <c:showPercent val="0"/>
          <c:showBubbleSize val="0"/>
        </c:dLbls>
        <c:marker val="1"/>
        <c:smooth val="0"/>
        <c:axId val="963564536"/>
        <c:axId val="963565256"/>
      </c:lineChart>
      <c:catAx>
        <c:axId val="963567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3568136"/>
        <c:crosses val="autoZero"/>
        <c:auto val="1"/>
        <c:lblAlgn val="ctr"/>
        <c:lblOffset val="100"/>
        <c:noMultiLvlLbl val="0"/>
      </c:catAx>
      <c:valAx>
        <c:axId val="963568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Max Achievement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3567416"/>
        <c:crosses val="autoZero"/>
        <c:crossBetween val="between"/>
      </c:valAx>
      <c:valAx>
        <c:axId val="96356525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Min</a:t>
                </a:r>
                <a:r>
                  <a:rPr lang="en-US" baseline="0"/>
                  <a:t> </a:t>
                </a:r>
                <a:r>
                  <a:rPr lang="en-US"/>
                  <a:t> Achievement</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3564536"/>
        <c:crosses val="max"/>
        <c:crossBetween val="between"/>
      </c:valAx>
      <c:catAx>
        <c:axId val="963564536"/>
        <c:scaling>
          <c:orientation val="minMax"/>
        </c:scaling>
        <c:delete val="1"/>
        <c:axPos val="b"/>
        <c:numFmt formatCode="General" sourceLinked="1"/>
        <c:majorTickMark val="out"/>
        <c:minorTickMark val="none"/>
        <c:tickLblPos val="nextTo"/>
        <c:crossAx val="963565256"/>
        <c:crosses val="autoZero"/>
        <c:auto val="1"/>
        <c:lblAlgn val="ctr"/>
        <c:lblOffset val="100"/>
        <c:noMultiLvlLbl val="0"/>
      </c:catAx>
      <c:spPr>
        <a:noFill/>
        <a:ln>
          <a:noFill/>
        </a:ln>
        <a:effectLst/>
      </c:spPr>
    </c:plotArea>
    <c:legend>
      <c:legendPos val="b"/>
      <c:layout>
        <c:manualLayout>
          <c:xMode val="edge"/>
          <c:yMode val="edge"/>
          <c:x val="4.4743080584314705E-2"/>
          <c:y val="0.81431017240816939"/>
          <c:w val="0.81229257806461441"/>
          <c:h val="0.157912071913244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Sales MIS Report.xlsx]Pivot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Arial Rounded MT Bold" panose="020F0704030504030204" pitchFamily="34" charset="0"/>
              </a:rPr>
              <a:t>Monthly</a:t>
            </a:r>
            <a:r>
              <a:rPr lang="en-US" sz="1200" baseline="0">
                <a:latin typeface="Arial Rounded MT Bold" panose="020F0704030504030204" pitchFamily="34" charset="0"/>
              </a:rPr>
              <a:t> Growth of Sales</a:t>
            </a:r>
            <a:endParaRPr lang="en-US" sz="1200">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Tables'!$B$132:$B$133</c:f>
              <c:strCache>
                <c:ptCount val="1"/>
                <c:pt idx="0">
                  <c:v>Air Conditioner</c:v>
                </c:pt>
              </c:strCache>
            </c:strRef>
          </c:tx>
          <c:spPr>
            <a:ln w="28575" cap="rnd">
              <a:solidFill>
                <a:schemeClr val="accent1"/>
              </a:solidFill>
              <a:round/>
            </a:ln>
            <a:effectLst/>
          </c:spPr>
          <c:marker>
            <c:symbol val="none"/>
          </c:marker>
          <c:cat>
            <c:strRef>
              <c:f>'Pivot Tables'!$A$134:$A$139</c:f>
              <c:strCache>
                <c:ptCount val="5"/>
                <c:pt idx="0">
                  <c:v>January</c:v>
                </c:pt>
                <c:pt idx="1">
                  <c:v>February</c:v>
                </c:pt>
                <c:pt idx="2">
                  <c:v>March</c:v>
                </c:pt>
                <c:pt idx="3">
                  <c:v>April</c:v>
                </c:pt>
                <c:pt idx="4">
                  <c:v>May</c:v>
                </c:pt>
              </c:strCache>
            </c:strRef>
          </c:cat>
          <c:val>
            <c:numRef>
              <c:f>'Pivot Tables'!$B$134:$B$139</c:f>
              <c:numCache>
                <c:formatCode>General</c:formatCode>
                <c:ptCount val="5"/>
                <c:pt idx="0">
                  <c:v>900000</c:v>
                </c:pt>
                <c:pt idx="1">
                  <c:v>1083000</c:v>
                </c:pt>
                <c:pt idx="2">
                  <c:v>920000</c:v>
                </c:pt>
                <c:pt idx="3">
                  <c:v>1080000</c:v>
                </c:pt>
                <c:pt idx="4">
                  <c:v>925000</c:v>
                </c:pt>
              </c:numCache>
            </c:numRef>
          </c:val>
          <c:smooth val="0"/>
          <c:extLst>
            <c:ext xmlns:c16="http://schemas.microsoft.com/office/drawing/2014/chart" uri="{C3380CC4-5D6E-409C-BE32-E72D297353CC}">
              <c16:uniqueId val="{00000000-E5BD-4E22-9B1D-2730A9CD8B3A}"/>
            </c:ext>
          </c:extLst>
        </c:ser>
        <c:ser>
          <c:idx val="1"/>
          <c:order val="1"/>
          <c:tx>
            <c:strRef>
              <c:f>'Pivot Tables'!$C$132:$C$133</c:f>
              <c:strCache>
                <c:ptCount val="1"/>
                <c:pt idx="0">
                  <c:v>Solar Inverter</c:v>
                </c:pt>
              </c:strCache>
            </c:strRef>
          </c:tx>
          <c:spPr>
            <a:ln w="28575" cap="rnd">
              <a:solidFill>
                <a:schemeClr val="accent2"/>
              </a:solidFill>
              <a:round/>
            </a:ln>
            <a:effectLst/>
          </c:spPr>
          <c:marker>
            <c:symbol val="none"/>
          </c:marker>
          <c:cat>
            <c:strRef>
              <c:f>'Pivot Tables'!$A$134:$A$139</c:f>
              <c:strCache>
                <c:ptCount val="5"/>
                <c:pt idx="0">
                  <c:v>January</c:v>
                </c:pt>
                <c:pt idx="1">
                  <c:v>February</c:v>
                </c:pt>
                <c:pt idx="2">
                  <c:v>March</c:v>
                </c:pt>
                <c:pt idx="3">
                  <c:v>April</c:v>
                </c:pt>
                <c:pt idx="4">
                  <c:v>May</c:v>
                </c:pt>
              </c:strCache>
            </c:strRef>
          </c:cat>
          <c:val>
            <c:numRef>
              <c:f>'Pivot Tables'!$C$134:$C$139</c:f>
              <c:numCache>
                <c:formatCode>General</c:formatCode>
                <c:ptCount val="5"/>
                <c:pt idx="0">
                  <c:v>1023000</c:v>
                </c:pt>
                <c:pt idx="1">
                  <c:v>770000</c:v>
                </c:pt>
                <c:pt idx="2">
                  <c:v>1015000</c:v>
                </c:pt>
                <c:pt idx="3">
                  <c:v>977000</c:v>
                </c:pt>
                <c:pt idx="4">
                  <c:v>810000</c:v>
                </c:pt>
              </c:numCache>
            </c:numRef>
          </c:val>
          <c:smooth val="0"/>
          <c:extLst>
            <c:ext xmlns:c16="http://schemas.microsoft.com/office/drawing/2014/chart" uri="{C3380CC4-5D6E-409C-BE32-E72D297353CC}">
              <c16:uniqueId val="{00000001-E5BD-4E22-9B1D-2730A9CD8B3A}"/>
            </c:ext>
          </c:extLst>
        </c:ser>
        <c:ser>
          <c:idx val="2"/>
          <c:order val="2"/>
          <c:tx>
            <c:strRef>
              <c:f>'Pivot Tables'!$D$132:$D$133</c:f>
              <c:strCache>
                <c:ptCount val="1"/>
                <c:pt idx="0">
                  <c:v>Water Purifier</c:v>
                </c:pt>
              </c:strCache>
            </c:strRef>
          </c:tx>
          <c:spPr>
            <a:ln w="28575" cap="rnd">
              <a:solidFill>
                <a:schemeClr val="accent3"/>
              </a:solidFill>
              <a:round/>
            </a:ln>
            <a:effectLst/>
          </c:spPr>
          <c:marker>
            <c:symbol val="none"/>
          </c:marker>
          <c:cat>
            <c:strRef>
              <c:f>'Pivot Tables'!$A$134:$A$139</c:f>
              <c:strCache>
                <c:ptCount val="5"/>
                <c:pt idx="0">
                  <c:v>January</c:v>
                </c:pt>
                <c:pt idx="1">
                  <c:v>February</c:v>
                </c:pt>
                <c:pt idx="2">
                  <c:v>March</c:v>
                </c:pt>
                <c:pt idx="3">
                  <c:v>April</c:v>
                </c:pt>
                <c:pt idx="4">
                  <c:v>May</c:v>
                </c:pt>
              </c:strCache>
            </c:strRef>
          </c:cat>
          <c:val>
            <c:numRef>
              <c:f>'Pivot Tables'!$D$134:$D$139</c:f>
              <c:numCache>
                <c:formatCode>General</c:formatCode>
                <c:ptCount val="5"/>
                <c:pt idx="0">
                  <c:v>623000</c:v>
                </c:pt>
                <c:pt idx="1">
                  <c:v>613000</c:v>
                </c:pt>
                <c:pt idx="2">
                  <c:v>607000</c:v>
                </c:pt>
                <c:pt idx="3">
                  <c:v>523000</c:v>
                </c:pt>
                <c:pt idx="4">
                  <c:v>618000</c:v>
                </c:pt>
              </c:numCache>
            </c:numRef>
          </c:val>
          <c:smooth val="0"/>
          <c:extLst>
            <c:ext xmlns:c16="http://schemas.microsoft.com/office/drawing/2014/chart" uri="{C3380CC4-5D6E-409C-BE32-E72D297353CC}">
              <c16:uniqueId val="{00000002-E5BD-4E22-9B1D-2730A9CD8B3A}"/>
            </c:ext>
          </c:extLst>
        </c:ser>
        <c:dLbls>
          <c:showLegendKey val="0"/>
          <c:showVal val="0"/>
          <c:showCatName val="0"/>
          <c:showSerName val="0"/>
          <c:showPercent val="0"/>
          <c:showBubbleSize val="0"/>
        </c:dLbls>
        <c:smooth val="0"/>
        <c:axId val="954262584"/>
        <c:axId val="954270504"/>
      </c:lineChart>
      <c:catAx>
        <c:axId val="954262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4270504"/>
        <c:crosses val="autoZero"/>
        <c:auto val="1"/>
        <c:lblAlgn val="ctr"/>
        <c:lblOffset val="100"/>
        <c:noMultiLvlLbl val="0"/>
      </c:catAx>
      <c:valAx>
        <c:axId val="954270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4262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211138</xdr:colOff>
      <xdr:row>6</xdr:row>
      <xdr:rowOff>64294</xdr:rowOff>
    </xdr:from>
    <xdr:to>
      <xdr:col>7</xdr:col>
      <xdr:colOff>464345</xdr:colOff>
      <xdr:row>19</xdr:row>
      <xdr:rowOff>88106</xdr:rowOff>
    </xdr:to>
    <xdr:graphicFrame macro="">
      <xdr:nvGraphicFramePr>
        <xdr:cNvPr id="2" name="Chart 1">
          <a:extLst>
            <a:ext uri="{FF2B5EF4-FFF2-40B4-BE49-F238E27FC236}">
              <a16:creationId xmlns:a16="http://schemas.microsoft.com/office/drawing/2014/main" id="{6DF46DF4-2DFB-485D-95FA-7C5BE510A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592932</xdr:colOff>
      <xdr:row>6</xdr:row>
      <xdr:rowOff>73819</xdr:rowOff>
    </xdr:from>
    <xdr:to>
      <xdr:col>12</xdr:col>
      <xdr:colOff>1345406</xdr:colOff>
      <xdr:row>19</xdr:row>
      <xdr:rowOff>130968</xdr:rowOff>
    </xdr:to>
    <xdr:graphicFrame macro="">
      <xdr:nvGraphicFramePr>
        <xdr:cNvPr id="3" name="Chart 2">
          <a:extLst>
            <a:ext uri="{FF2B5EF4-FFF2-40B4-BE49-F238E27FC236}">
              <a16:creationId xmlns:a16="http://schemas.microsoft.com/office/drawing/2014/main" id="{4C656700-CF84-474D-8A63-6275A43A8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273503</xdr:colOff>
      <xdr:row>19</xdr:row>
      <xdr:rowOff>145483</xdr:rowOff>
    </xdr:from>
    <xdr:to>
      <xdr:col>27</xdr:col>
      <xdr:colOff>518772</xdr:colOff>
      <xdr:row>33</xdr:row>
      <xdr:rowOff>93549</xdr:rowOff>
    </xdr:to>
    <xdr:graphicFrame macro="">
      <xdr:nvGraphicFramePr>
        <xdr:cNvPr id="6" name="Chart 5">
          <a:extLst>
            <a:ext uri="{FF2B5EF4-FFF2-40B4-BE49-F238E27FC236}">
              <a16:creationId xmlns:a16="http://schemas.microsoft.com/office/drawing/2014/main" id="{F6FC0BDD-72C4-42B7-898B-CAC605831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234040</xdr:colOff>
      <xdr:row>1</xdr:row>
      <xdr:rowOff>16328</xdr:rowOff>
    </xdr:from>
    <xdr:to>
      <xdr:col>9</xdr:col>
      <xdr:colOff>428625</xdr:colOff>
      <xdr:row>5</xdr:row>
      <xdr:rowOff>85726</xdr:rowOff>
    </xdr:to>
    <xdr:sp macro="" textlink="">
      <xdr:nvSpPr>
        <xdr:cNvPr id="7" name="TextBox 6">
          <a:extLst>
            <a:ext uri="{FF2B5EF4-FFF2-40B4-BE49-F238E27FC236}">
              <a16:creationId xmlns:a16="http://schemas.microsoft.com/office/drawing/2014/main" id="{9441F550-7BB0-4653-9DF5-9DD07622A6FC}"/>
            </a:ext>
          </a:extLst>
        </xdr:cNvPr>
        <xdr:cNvSpPr txBox="1"/>
      </xdr:nvSpPr>
      <xdr:spPr>
        <a:xfrm>
          <a:off x="234040" y="206828"/>
          <a:ext cx="5680985" cy="831398"/>
        </a:xfrm>
        <a:prstGeom prst="rect">
          <a:avLst/>
        </a:prstGeom>
        <a:solidFill>
          <a:srgbClr val="DAE3F3">
            <a:alpha val="69804"/>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accent2"/>
              </a:solidFill>
              <a:latin typeface="Arial Rounded MT Bold" panose="020F0704030504030204" pitchFamily="34" charset="0"/>
            </a:rPr>
            <a:t>Monthly Sales</a:t>
          </a:r>
          <a:r>
            <a:rPr lang="en-US" sz="2800" baseline="0">
              <a:solidFill>
                <a:schemeClr val="accent2"/>
              </a:solidFill>
              <a:latin typeface="Arial Rounded MT Bold" panose="020F0704030504030204" pitchFamily="34" charset="0"/>
            </a:rPr>
            <a:t> MIS Report</a:t>
          </a:r>
          <a:endParaRPr lang="en-US" sz="2800">
            <a:solidFill>
              <a:schemeClr val="accent2"/>
            </a:solidFill>
            <a:latin typeface="Arial Rounded MT Bold" panose="020F0704030504030204" pitchFamily="34" charset="0"/>
          </a:endParaRPr>
        </a:p>
      </xdr:txBody>
    </xdr:sp>
    <xdr:clientData/>
  </xdr:twoCellAnchor>
  <xdr:twoCellAnchor>
    <xdr:from>
      <xdr:col>0</xdr:col>
      <xdr:colOff>219073</xdr:colOff>
      <xdr:row>19</xdr:row>
      <xdr:rowOff>183357</xdr:rowOff>
    </xdr:from>
    <xdr:to>
      <xdr:col>7</xdr:col>
      <xdr:colOff>462643</xdr:colOff>
      <xdr:row>33</xdr:row>
      <xdr:rowOff>108857</xdr:rowOff>
    </xdr:to>
    <xdr:graphicFrame macro="">
      <xdr:nvGraphicFramePr>
        <xdr:cNvPr id="11" name="Chart 10">
          <a:extLst>
            <a:ext uri="{FF2B5EF4-FFF2-40B4-BE49-F238E27FC236}">
              <a16:creationId xmlns:a16="http://schemas.microsoft.com/office/drawing/2014/main" id="{9363FB21-ADB3-4C1D-8623-2E6F372C73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381000</xdr:colOff>
      <xdr:row>1</xdr:row>
      <xdr:rowOff>33905</xdr:rowOff>
    </xdr:from>
    <xdr:to>
      <xdr:col>12</xdr:col>
      <xdr:colOff>1246414</xdr:colOff>
      <xdr:row>5</xdr:row>
      <xdr:rowOff>95250</xdr:rowOff>
    </xdr:to>
    <xdr:sp macro="" textlink="">
      <xdr:nvSpPr>
        <xdr:cNvPr id="4" name="TextBox 3">
          <a:extLst>
            <a:ext uri="{FF2B5EF4-FFF2-40B4-BE49-F238E27FC236}">
              <a16:creationId xmlns:a16="http://schemas.microsoft.com/office/drawing/2014/main" id="{0B0FD639-9A82-53F6-8914-52FC1BD05B8F}"/>
            </a:ext>
          </a:extLst>
        </xdr:cNvPr>
        <xdr:cNvSpPr txBox="1"/>
      </xdr:nvSpPr>
      <xdr:spPr>
        <a:xfrm>
          <a:off x="6477000" y="224405"/>
          <a:ext cx="2084614" cy="823345"/>
        </a:xfrm>
        <a:prstGeom prst="rect">
          <a:avLst/>
        </a:prstGeom>
        <a:solidFill>
          <a:srgbClr val="DAE3F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a:latin typeface="Arial Rounded MT Bold" panose="020F0704030504030204" pitchFamily="34" charset="0"/>
            </a:rPr>
            <a:t>                                          Total Revenue</a:t>
          </a:r>
        </a:p>
        <a:p>
          <a:pPr algn="ctr"/>
          <a:r>
            <a:rPr lang="en-US" sz="1600" b="0" i="0" u="none" strike="noStrike">
              <a:solidFill>
                <a:schemeClr val="dk1"/>
              </a:solidFill>
              <a:effectLst/>
              <a:latin typeface="Arial Rounded MT Bold" panose="020F0704030504030204" pitchFamily="34" charset="0"/>
              <a:ea typeface="+mn-ea"/>
              <a:cs typeface="+mn-cs"/>
            </a:rPr>
            <a:t> ₹12,487,000 </a:t>
          </a:r>
          <a:r>
            <a:rPr lang="en-US" sz="1600">
              <a:latin typeface="Arial Rounded MT Bold" panose="020F0704030504030204" pitchFamily="34" charset="0"/>
            </a:rPr>
            <a:t> </a:t>
          </a:r>
          <a:endParaRPr lang="en-US" sz="1600" b="0" i="0" u="none" strike="noStrike">
            <a:solidFill>
              <a:schemeClr val="dk1"/>
            </a:solidFill>
            <a:effectLst/>
            <a:latin typeface="Arial Rounded MT Bold" panose="020F0704030504030204" pitchFamily="34" charset="0"/>
            <a:ea typeface="+mn-ea"/>
            <a:cs typeface="+mn-cs"/>
          </a:endParaRPr>
        </a:p>
        <a:p>
          <a:pPr algn="ctr"/>
          <a:r>
            <a:rPr lang="en-US" sz="2000"/>
            <a:t> </a:t>
          </a:r>
        </a:p>
      </xdr:txBody>
    </xdr:sp>
    <xdr:clientData/>
  </xdr:twoCellAnchor>
  <xdr:twoCellAnchor>
    <xdr:from>
      <xdr:col>13</xdr:col>
      <xdr:colOff>59903</xdr:colOff>
      <xdr:row>1</xdr:row>
      <xdr:rowOff>18647</xdr:rowOff>
    </xdr:from>
    <xdr:to>
      <xdr:col>16</xdr:col>
      <xdr:colOff>517071</xdr:colOff>
      <xdr:row>5</xdr:row>
      <xdr:rowOff>108857</xdr:rowOff>
    </xdr:to>
    <xdr:sp macro="" textlink="">
      <xdr:nvSpPr>
        <xdr:cNvPr id="5" name="TextBox 4">
          <a:extLst>
            <a:ext uri="{FF2B5EF4-FFF2-40B4-BE49-F238E27FC236}">
              <a16:creationId xmlns:a16="http://schemas.microsoft.com/office/drawing/2014/main" id="{75BD3D66-F624-4999-980F-B074B05F81FC}"/>
            </a:ext>
          </a:extLst>
        </xdr:cNvPr>
        <xdr:cNvSpPr txBox="1"/>
      </xdr:nvSpPr>
      <xdr:spPr>
        <a:xfrm>
          <a:off x="9367189" y="209147"/>
          <a:ext cx="2294132" cy="852210"/>
        </a:xfrm>
        <a:prstGeom prst="rect">
          <a:avLst/>
        </a:prstGeom>
        <a:solidFill>
          <a:srgbClr val="DAE3F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a:latin typeface="Arial Rounded MT Bold" panose="020F0704030504030204" pitchFamily="34" charset="0"/>
            </a:rPr>
            <a:t>Total Agents</a:t>
          </a:r>
          <a:r>
            <a:rPr lang="en-US" sz="1200">
              <a:latin typeface="Arial Rounded MT Bold" panose="020F0704030504030204" pitchFamily="34" charset="0"/>
            </a:rPr>
            <a:t>                                             </a:t>
          </a:r>
          <a:r>
            <a:rPr lang="en-US" sz="2000" b="0" i="0" u="none" strike="noStrike">
              <a:solidFill>
                <a:schemeClr val="dk1"/>
              </a:solidFill>
              <a:effectLst/>
              <a:latin typeface="+mn-lt"/>
              <a:ea typeface="+mn-ea"/>
              <a:cs typeface="+mn-cs"/>
            </a:rPr>
            <a:t>99</a:t>
          </a:r>
          <a:r>
            <a:rPr lang="en-US" sz="1200"/>
            <a:t> </a:t>
          </a:r>
          <a:endParaRPr lang="en-US" sz="1200">
            <a:latin typeface="Arial Rounded MT Bold" panose="020F0704030504030204" pitchFamily="34" charset="0"/>
          </a:endParaRPr>
        </a:p>
      </xdr:txBody>
    </xdr:sp>
    <xdr:clientData/>
  </xdr:twoCellAnchor>
  <xdr:twoCellAnchor>
    <xdr:from>
      <xdr:col>18</xdr:col>
      <xdr:colOff>165740</xdr:colOff>
      <xdr:row>1</xdr:row>
      <xdr:rowOff>10279</xdr:rowOff>
    </xdr:from>
    <xdr:to>
      <xdr:col>22</xdr:col>
      <xdr:colOff>136071</xdr:colOff>
      <xdr:row>5</xdr:row>
      <xdr:rowOff>81643</xdr:rowOff>
    </xdr:to>
    <xdr:sp macro="" textlink="">
      <xdr:nvSpPr>
        <xdr:cNvPr id="8" name="TextBox 7">
          <a:extLst>
            <a:ext uri="{FF2B5EF4-FFF2-40B4-BE49-F238E27FC236}">
              <a16:creationId xmlns:a16="http://schemas.microsoft.com/office/drawing/2014/main" id="{A362584E-813E-44D5-B9E5-D1EA75FB76F8}"/>
            </a:ext>
          </a:extLst>
        </xdr:cNvPr>
        <xdr:cNvSpPr txBox="1"/>
      </xdr:nvSpPr>
      <xdr:spPr>
        <a:xfrm>
          <a:off x="12534633" y="200779"/>
          <a:ext cx="2419617" cy="833364"/>
        </a:xfrm>
        <a:prstGeom prst="rect">
          <a:avLst/>
        </a:prstGeom>
        <a:solidFill>
          <a:srgbClr val="DAE3F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a:latin typeface="Arial Rounded MT Bold" panose="020F0704030504030204" pitchFamily="34" charset="0"/>
            </a:rPr>
            <a:t>Total %  Met Target</a:t>
          </a:r>
          <a:r>
            <a:rPr lang="en-US" sz="1200">
              <a:latin typeface="Arial Rounded MT Bold" panose="020F0704030504030204" pitchFamily="34" charset="0"/>
            </a:rPr>
            <a:t>                             </a:t>
          </a:r>
          <a:r>
            <a:rPr lang="en-US" sz="2000" b="0" i="0" u="none" strike="noStrike">
              <a:solidFill>
                <a:schemeClr val="dk1"/>
              </a:solidFill>
              <a:effectLst/>
              <a:latin typeface="+mn-lt"/>
              <a:ea typeface="+mn-ea"/>
              <a:cs typeface="+mn-cs"/>
            </a:rPr>
            <a:t>58%</a:t>
          </a:r>
          <a:r>
            <a:rPr lang="en-US" sz="2000"/>
            <a:t> </a:t>
          </a:r>
          <a:r>
            <a:rPr lang="en-US" sz="1200"/>
            <a:t> </a:t>
          </a:r>
          <a:endParaRPr lang="en-US" sz="1200">
            <a:latin typeface="Arial Rounded MT Bold" panose="020F0704030504030204" pitchFamily="34" charset="0"/>
          </a:endParaRPr>
        </a:p>
      </xdr:txBody>
    </xdr:sp>
    <xdr:clientData/>
  </xdr:twoCellAnchor>
  <xdr:twoCellAnchor>
    <xdr:from>
      <xdr:col>23</xdr:col>
      <xdr:colOff>435429</xdr:colOff>
      <xdr:row>0</xdr:row>
      <xdr:rowOff>177347</xdr:rowOff>
    </xdr:from>
    <xdr:to>
      <xdr:col>27</xdr:col>
      <xdr:colOff>462643</xdr:colOff>
      <xdr:row>5</xdr:row>
      <xdr:rowOff>95250</xdr:rowOff>
    </xdr:to>
    <xdr:sp macro="" textlink="">
      <xdr:nvSpPr>
        <xdr:cNvPr id="10" name="TextBox 9">
          <a:extLst>
            <a:ext uri="{FF2B5EF4-FFF2-40B4-BE49-F238E27FC236}">
              <a16:creationId xmlns:a16="http://schemas.microsoft.com/office/drawing/2014/main" id="{B3114DA5-A60D-40CC-8869-F7E64B95D8CF}"/>
            </a:ext>
          </a:extLst>
        </xdr:cNvPr>
        <xdr:cNvSpPr txBox="1"/>
      </xdr:nvSpPr>
      <xdr:spPr>
        <a:xfrm>
          <a:off x="15865929" y="177347"/>
          <a:ext cx="2476500" cy="870403"/>
        </a:xfrm>
        <a:prstGeom prst="rect">
          <a:avLst/>
        </a:prstGeom>
        <a:solidFill>
          <a:srgbClr val="DAE3F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a:latin typeface="Arial Rounded MT Bold" panose="020F0704030504030204" pitchFamily="34" charset="0"/>
            </a:rPr>
            <a:t>Top Agent Name                      </a:t>
          </a:r>
          <a:r>
            <a:rPr lang="en-US" sz="2000" b="0" i="0" u="none" strike="noStrike">
              <a:solidFill>
                <a:schemeClr val="dk1"/>
              </a:solidFill>
              <a:effectLst/>
              <a:latin typeface="+mn-lt"/>
              <a:ea typeface="+mn-ea"/>
              <a:cs typeface="+mn-cs"/>
            </a:rPr>
            <a:t>Rohit Sharma</a:t>
          </a:r>
          <a:endParaRPr lang="en-US" sz="2000">
            <a:latin typeface="Arial Rounded MT Bold" panose="020F0704030504030204" pitchFamily="34" charset="0"/>
          </a:endParaRPr>
        </a:p>
      </xdr:txBody>
    </xdr:sp>
    <xdr:clientData/>
  </xdr:twoCellAnchor>
  <xdr:twoCellAnchor editAs="oneCell">
    <xdr:from>
      <xdr:col>12</xdr:col>
      <xdr:colOff>1445419</xdr:colOff>
      <xdr:row>6</xdr:row>
      <xdr:rowOff>73818</xdr:rowOff>
    </xdr:from>
    <xdr:to>
      <xdr:col>17</xdr:col>
      <xdr:colOff>47625</xdr:colOff>
      <xdr:row>19</xdr:row>
      <xdr:rowOff>47625</xdr:rowOff>
    </xdr:to>
    <mc:AlternateContent xmlns:mc="http://schemas.openxmlformats.org/markup-compatibility/2006" xmlns:a14="http://schemas.microsoft.com/office/drawing/2010/main">
      <mc:Choice Requires="a14">
        <xdr:graphicFrame macro="">
          <xdr:nvGraphicFramePr>
            <xdr:cNvPr id="13" name="Month2">
              <a:extLst>
                <a:ext uri="{FF2B5EF4-FFF2-40B4-BE49-F238E27FC236}">
                  <a16:creationId xmlns:a16="http://schemas.microsoft.com/office/drawing/2014/main" id="{44388454-CBCA-4CDA-8422-B939656EB60E}"/>
                </a:ext>
              </a:extLst>
            </xdr:cNvPr>
            <xdr:cNvGraphicFramePr/>
          </xdr:nvGraphicFramePr>
          <xdr:xfrm>
            <a:off x="0" y="0"/>
            <a:ext cx="0" cy="0"/>
          </xdr:xfrm>
          <a:graphic>
            <a:graphicData uri="http://schemas.microsoft.com/office/drawing/2010/slicer">
              <sle:slicer xmlns:sle="http://schemas.microsoft.com/office/drawing/2010/slicer" name="Month2"/>
            </a:graphicData>
          </a:graphic>
        </xdr:graphicFrame>
      </mc:Choice>
      <mc:Fallback xmlns="">
        <xdr:sp macro="" textlink="">
          <xdr:nvSpPr>
            <xdr:cNvPr id="0" name=""/>
            <xdr:cNvSpPr>
              <a:spLocks noTextEdit="1"/>
            </xdr:cNvSpPr>
          </xdr:nvSpPr>
          <xdr:spPr>
            <a:xfrm>
              <a:off x="8760619" y="1216818"/>
              <a:ext cx="3002756" cy="24503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27213</xdr:colOff>
      <xdr:row>19</xdr:row>
      <xdr:rowOff>162265</xdr:rowOff>
    </xdr:from>
    <xdr:to>
      <xdr:col>20</xdr:col>
      <xdr:colOff>176893</xdr:colOff>
      <xdr:row>33</xdr:row>
      <xdr:rowOff>81643</xdr:rowOff>
    </xdr:to>
    <xdr:graphicFrame macro="">
      <xdr:nvGraphicFramePr>
        <xdr:cNvPr id="15" name="Chart 14">
          <a:extLst>
            <a:ext uri="{FF2B5EF4-FFF2-40B4-BE49-F238E27FC236}">
              <a16:creationId xmlns:a16="http://schemas.microsoft.com/office/drawing/2014/main" id="{65AF9764-ABC4-4BB6-A3A5-BFB1EECBE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150700</xdr:colOff>
      <xdr:row>6</xdr:row>
      <xdr:rowOff>44226</xdr:rowOff>
    </xdr:from>
    <xdr:to>
      <xdr:col>27</xdr:col>
      <xdr:colOff>517071</xdr:colOff>
      <xdr:row>19</xdr:row>
      <xdr:rowOff>81644</xdr:rowOff>
    </xdr:to>
    <xdr:graphicFrame macro="">
      <xdr:nvGraphicFramePr>
        <xdr:cNvPr id="9" name="Chart 8">
          <a:extLst>
            <a:ext uri="{FF2B5EF4-FFF2-40B4-BE49-F238E27FC236}">
              <a16:creationId xmlns:a16="http://schemas.microsoft.com/office/drawing/2014/main" id="{38DB18BA-CE3A-4E9C-AA7E-7D0F1F835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530679</xdr:colOff>
      <xdr:row>20</xdr:row>
      <xdr:rowOff>7144</xdr:rowOff>
    </xdr:from>
    <xdr:to>
      <xdr:col>12</xdr:col>
      <xdr:colOff>1905000</xdr:colOff>
      <xdr:row>33</xdr:row>
      <xdr:rowOff>108857</xdr:rowOff>
    </xdr:to>
    <xdr:graphicFrame macro="">
      <xdr:nvGraphicFramePr>
        <xdr:cNvPr id="12" name="Chart 11">
          <a:extLst>
            <a:ext uri="{FF2B5EF4-FFF2-40B4-BE49-F238E27FC236}">
              <a16:creationId xmlns:a16="http://schemas.microsoft.com/office/drawing/2014/main" id="{6CCFC979-8E1F-4144-B38A-5A2EEC331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225.734112152779" createdVersion="8" refreshedVersion="8" minRefreshableVersion="3" recordCount="99" xr:uid="{1A196FC6-76B0-4893-B3A9-25694AFB6555}">
  <cacheSource type="worksheet">
    <worksheetSource name="Table_MIS_RegionalSalesData"/>
  </cacheSource>
  <cacheFields count="10">
    <cacheField name="Agent Name" numFmtId="0">
      <sharedItems count="98">
        <s v="Rohit Sharma"/>
        <s v="Bhavesh Patel"/>
        <s v="Karthik Raj"/>
        <s v="Rani Mukerji"/>
        <s v="Priya Patel"/>
        <s v="Katrina Kaif"/>
        <s v="Kartik Aaryan"/>
        <s v="Om Puri"/>
        <s v="Vijay Jadhav"/>
        <s v="Ayushmann K."/>
        <s v="Paresh Rawal"/>
        <s v="Alia Bhatt"/>
        <s v="Suresh Raina"/>
        <s v="Govinda"/>
        <s v="Varun Dhawan"/>
        <s v="Madhuri Dixit"/>
        <s v="Sidharth M."/>
        <s v="Rekha"/>
        <s v="Rahul Verma"/>
        <s v="Sachin Tendulkar"/>
        <s v="Deepika Padukone"/>
        <s v="Radhika Apte"/>
        <s v="Nitesh Jain"/>
        <s v="Anupam Kher"/>
        <s v="Sanjay Kapoor"/>
        <s v="Harish Bhat"/>
        <s v="Saif Ali Khan"/>
        <s v="Ashok Kumar"/>
        <s v="Sonam Kapoor"/>
        <s v="Ritu Sharma"/>
        <s v="Hrithik Roshan"/>
        <s v="Karisma Kapoor"/>
        <s v="Taapsee Pannu"/>
        <s v="Tina Dsouza"/>
        <s v="Ajay Devgn"/>
        <s v="Ranbir Kapoor"/>
        <s v="Preeti Zinta"/>
        <s v="Salman Khan"/>
        <s v="Aishwarya Rai"/>
        <s v="Hema Malini"/>
        <s v="Anushka Sharma"/>
        <s v="Sridevi"/>
        <s v="Gulshan Grover"/>
        <s v="Shahid Kapoor"/>
        <s v="Swati Singh"/>
        <s v="Kavita Rao"/>
        <s v="Vikram Joshi"/>
        <s v="Manoj Kumar"/>
        <s v="Sameer Khan"/>
        <s v="Jyoti Kulkarni"/>
        <s v="Fatima Sheikh"/>
        <s v="Anil Kapoor"/>
        <s v="Rajkummar Rao"/>
        <s v="Anil Dhawan"/>
        <s v="Smita Patil"/>
        <s v="Sonakshi Sinha"/>
        <s v="Kangana Ranaut"/>
        <s v="Naseeruddin Shah"/>
        <s v="Sneha Patil"/>
        <s v="Chunky Pandey"/>
        <s v="Vidya Balan"/>
        <s v="Tarun Sharma"/>
        <s v="Shabana Azmi"/>
        <s v="Lara Dutta"/>
        <s v="Sunil Gavaskar"/>
        <s v="John Abraham"/>
        <s v="Aamir Khan"/>
        <s v="Sushmita Sen"/>
        <s v="Ravi Shankar"/>
        <s v="Jackie Shroff"/>
        <s v="Emraan Hashmi"/>
        <s v="Amrita Rao"/>
        <s v="Manish Pandey"/>
        <s v="Mithun Chakraborty"/>
        <s v="Vicky Kaushal"/>
        <s v="Kareena Kapoor"/>
        <s v="Sanjay Dutt"/>
        <s v="Ranveer Singh"/>
        <s v="Suniel Shetty"/>
        <s v="Priyanka Chopra"/>
        <s v="Akshay Kumar"/>
        <s v="Deepa Nair"/>
        <s v="Varun Sharma"/>
        <s v="Shakti Kapoor"/>
        <s v="Rajesh Sharma"/>
        <s v="Rakesh Roshan"/>
        <s v="Rekha Menon"/>
        <s v="Shraddha Kapoor"/>
        <s v="Juhi Chawla"/>
        <s v="Meenakshi S."/>
        <s v="Neha Gupta"/>
        <s v="Preity Zinta"/>
        <s v="Pooja Shah"/>
        <s v="Aditya Roy K."/>
        <s v="Anjali Reddy"/>
        <s v="Divya Iyer"/>
        <s v="Arvind Gupta"/>
        <s v="Amit Singh"/>
      </sharedItems>
    </cacheField>
    <cacheField name="Region" numFmtId="0">
      <sharedItems count="10">
        <s v="Punjab"/>
        <s v="Gujarat"/>
        <s v="Karnataka"/>
        <s v="Maharashtra"/>
        <s v="Delhi"/>
        <s v="Kerala"/>
        <s v="Tamil Nadu"/>
        <s v="Haryana"/>
        <s v="Goa"/>
        <s v="Telangana"/>
      </sharedItems>
    </cacheField>
    <cacheField name="Product" numFmtId="0">
      <sharedItems count="3">
        <s v="Solar Inverter"/>
        <s v="Air Conditioner"/>
        <s v="Water Purifier"/>
      </sharedItems>
    </cacheField>
    <cacheField name="Target (₹)" numFmtId="0">
      <sharedItems containsSemiMixedTypes="0" containsString="0" containsNumber="1" containsInteger="1" minValue="80000" maxValue="200000"/>
    </cacheField>
    <cacheField name="Actual Sales(₹)" numFmtId="0">
      <sharedItems containsSemiMixedTypes="0" containsString="0" containsNumber="1" containsInteger="1" minValue="75000" maxValue="210000"/>
    </cacheField>
    <cacheField name="Month" numFmtId="14">
      <sharedItems containsSemiMixedTypes="0" containsNonDate="0" containsDate="1" containsString="0" minDate="2026-01-01T00:00:00" maxDate="2026-05-02T00:00:00" count="5">
        <d v="2026-01-01T00:00:00"/>
        <d v="2026-02-01T00:00:00"/>
        <d v="2026-05-01T00:00:00"/>
        <d v="2026-03-01T00:00:00"/>
        <d v="2026-04-01T00:00:00"/>
      </sharedItems>
    </cacheField>
    <cacheField name="Month2" numFmtId="14">
      <sharedItems count="5">
        <s v="January"/>
        <s v="February"/>
        <s v="May"/>
        <s v="March"/>
        <s v="April"/>
      </sharedItems>
    </cacheField>
    <cacheField name="Achivement(%)" numFmtId="10">
      <sharedItems containsSemiMixedTypes="0" containsString="0" containsNumber="1" minValue="0.8666666666666667" maxValue="1.1363636363636365"/>
    </cacheField>
    <cacheField name="Variance" numFmtId="10">
      <sharedItems containsSemiMixedTypes="0" containsString="0" containsNumber="1" minValue="-0.15384615384615385" maxValue="0.12"/>
    </cacheField>
    <cacheField name="Status" numFmtId="0">
      <sharedItems count="2">
        <s v="Met Target"/>
        <s v="Below Target"/>
      </sharedItems>
    </cacheField>
  </cacheFields>
  <extLst>
    <ext xmlns:x14="http://schemas.microsoft.com/office/spreadsheetml/2009/9/main" uri="{725AE2AE-9491-48be-B2B4-4EB974FC3084}">
      <x14:pivotCacheDefinition pivotCacheId="15818186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x v="0"/>
    <x v="0"/>
    <x v="0"/>
    <n v="110000"/>
    <n v="125000"/>
    <x v="0"/>
    <x v="0"/>
    <n v="1.1363636363636365"/>
    <n v="0.12"/>
    <x v="0"/>
  </r>
  <r>
    <x v="1"/>
    <x v="1"/>
    <x v="1"/>
    <n v="155000"/>
    <n v="170000"/>
    <x v="1"/>
    <x v="1"/>
    <n v="1.096774193548387"/>
    <n v="8.8235294117647065E-2"/>
    <x v="0"/>
  </r>
  <r>
    <x v="2"/>
    <x v="2"/>
    <x v="1"/>
    <n v="175000"/>
    <n v="190000"/>
    <x v="0"/>
    <x v="0"/>
    <n v="1.0857142857142856"/>
    <n v="7.8947368421052627E-2"/>
    <x v="0"/>
  </r>
  <r>
    <x v="3"/>
    <x v="3"/>
    <x v="0"/>
    <n v="120000"/>
    <n v="130000"/>
    <x v="2"/>
    <x v="2"/>
    <n v="1.0833333333333333"/>
    <n v="7.6923076923076927E-2"/>
    <x v="0"/>
  </r>
  <r>
    <x v="4"/>
    <x v="1"/>
    <x v="2"/>
    <n v="85000"/>
    <n v="92000"/>
    <x v="0"/>
    <x v="0"/>
    <n v="1.0823529411764705"/>
    <n v="7.6086956521739135E-2"/>
    <x v="0"/>
  </r>
  <r>
    <x v="5"/>
    <x v="3"/>
    <x v="0"/>
    <n v="125000"/>
    <n v="135000"/>
    <x v="2"/>
    <x v="2"/>
    <n v="1.08"/>
    <n v="7.407407407407407E-2"/>
    <x v="0"/>
  </r>
  <r>
    <x v="6"/>
    <x v="3"/>
    <x v="0"/>
    <n v="130000"/>
    <n v="140000"/>
    <x v="3"/>
    <x v="3"/>
    <n v="1.0769230769230769"/>
    <n v="7.1428571428571425E-2"/>
    <x v="0"/>
  </r>
  <r>
    <x v="7"/>
    <x v="0"/>
    <x v="1"/>
    <n v="130000"/>
    <n v="140000"/>
    <x v="4"/>
    <x v="4"/>
    <n v="1.0769230769230769"/>
    <n v="7.1428571428571425E-2"/>
    <x v="0"/>
  </r>
  <r>
    <x v="8"/>
    <x v="3"/>
    <x v="0"/>
    <n v="140000"/>
    <n v="150000"/>
    <x v="0"/>
    <x v="0"/>
    <n v="1.0714285714285714"/>
    <n v="6.6666666666666666E-2"/>
    <x v="0"/>
  </r>
  <r>
    <x v="9"/>
    <x v="1"/>
    <x v="1"/>
    <n v="150000"/>
    <n v="160000"/>
    <x v="3"/>
    <x v="3"/>
    <n v="1.0666666666666667"/>
    <n v="6.25E-2"/>
    <x v="0"/>
  </r>
  <r>
    <x v="10"/>
    <x v="4"/>
    <x v="1"/>
    <n v="150000"/>
    <n v="160000"/>
    <x v="4"/>
    <x v="4"/>
    <n v="1.0666666666666667"/>
    <n v="6.25E-2"/>
    <x v="0"/>
  </r>
  <r>
    <x v="11"/>
    <x v="4"/>
    <x v="1"/>
    <n v="150000"/>
    <n v="160000"/>
    <x v="2"/>
    <x v="2"/>
    <n v="1.0666666666666667"/>
    <n v="6.25E-2"/>
    <x v="0"/>
  </r>
  <r>
    <x v="12"/>
    <x v="4"/>
    <x v="1"/>
    <n v="155000"/>
    <n v="165000"/>
    <x v="0"/>
    <x v="0"/>
    <n v="1.064516129032258"/>
    <n v="6.0606060606060608E-2"/>
    <x v="0"/>
  </r>
  <r>
    <x v="13"/>
    <x v="4"/>
    <x v="1"/>
    <n v="155000"/>
    <n v="165000"/>
    <x v="4"/>
    <x v="4"/>
    <n v="1.064516129032258"/>
    <n v="6.0606060606060608E-2"/>
    <x v="0"/>
  </r>
  <r>
    <x v="14"/>
    <x v="3"/>
    <x v="1"/>
    <n v="170000"/>
    <n v="180000"/>
    <x v="1"/>
    <x v="1"/>
    <n v="1.0588235294117647"/>
    <n v="5.5555555555555552E-2"/>
    <x v="0"/>
  </r>
  <r>
    <x v="15"/>
    <x v="3"/>
    <x v="0"/>
    <n v="140000"/>
    <n v="148000"/>
    <x v="3"/>
    <x v="3"/>
    <n v="1.0571428571428572"/>
    <n v="5.4054054054054057E-2"/>
    <x v="0"/>
  </r>
  <r>
    <x v="16"/>
    <x v="4"/>
    <x v="2"/>
    <n v="90000"/>
    <n v="95000"/>
    <x v="3"/>
    <x v="3"/>
    <n v="1.0555555555555556"/>
    <n v="5.2631578947368418E-2"/>
    <x v="0"/>
  </r>
  <r>
    <x v="17"/>
    <x v="3"/>
    <x v="0"/>
    <n v="180000"/>
    <n v="190000"/>
    <x v="4"/>
    <x v="4"/>
    <n v="1.0555555555555556"/>
    <n v="5.2631578947368418E-2"/>
    <x v="0"/>
  </r>
  <r>
    <x v="18"/>
    <x v="2"/>
    <x v="0"/>
    <n v="200000"/>
    <n v="210000"/>
    <x v="0"/>
    <x v="0"/>
    <n v="1.05"/>
    <n v="4.7619047619047616E-2"/>
    <x v="0"/>
  </r>
  <r>
    <x v="19"/>
    <x v="3"/>
    <x v="2"/>
    <n v="100000"/>
    <n v="105000"/>
    <x v="0"/>
    <x v="0"/>
    <n v="1.05"/>
    <n v="4.7619047619047616E-2"/>
    <x v="0"/>
  </r>
  <r>
    <x v="20"/>
    <x v="5"/>
    <x v="2"/>
    <n v="88000"/>
    <n v="92000"/>
    <x v="2"/>
    <x v="2"/>
    <n v="1.0454545454545454"/>
    <n v="4.3478260869565216E-2"/>
    <x v="0"/>
  </r>
  <r>
    <x v="21"/>
    <x v="3"/>
    <x v="0"/>
    <n v="110000"/>
    <n v="115000"/>
    <x v="2"/>
    <x v="2"/>
    <n v="1.0454545454545454"/>
    <n v="4.3478260869565216E-2"/>
    <x v="0"/>
  </r>
  <r>
    <x v="22"/>
    <x v="3"/>
    <x v="0"/>
    <n v="115000"/>
    <n v="120000"/>
    <x v="1"/>
    <x v="1"/>
    <n v="1.0434782608695652"/>
    <n v="4.1666666666666664E-2"/>
    <x v="0"/>
  </r>
  <r>
    <x v="23"/>
    <x v="3"/>
    <x v="0"/>
    <n v="115000"/>
    <n v="120000"/>
    <x v="4"/>
    <x v="4"/>
    <n v="1.0434782608695652"/>
    <n v="4.1666666666666664E-2"/>
    <x v="0"/>
  </r>
  <r>
    <x v="24"/>
    <x v="3"/>
    <x v="0"/>
    <n v="120000"/>
    <n v="125000"/>
    <x v="4"/>
    <x v="4"/>
    <n v="1.0416666666666667"/>
    <n v="0.04"/>
    <x v="0"/>
  </r>
  <r>
    <x v="25"/>
    <x v="3"/>
    <x v="0"/>
    <n v="125000"/>
    <n v="130000"/>
    <x v="1"/>
    <x v="1"/>
    <n v="1.04"/>
    <n v="3.8461538461538464E-2"/>
    <x v="0"/>
  </r>
  <r>
    <x v="26"/>
    <x v="3"/>
    <x v="0"/>
    <n v="125000"/>
    <n v="130000"/>
    <x v="3"/>
    <x v="3"/>
    <n v="1.04"/>
    <n v="3.8461538461538464E-2"/>
    <x v="0"/>
  </r>
  <r>
    <x v="27"/>
    <x v="6"/>
    <x v="1"/>
    <n v="135000"/>
    <n v="140000"/>
    <x v="1"/>
    <x v="1"/>
    <n v="1.037037037037037"/>
    <n v="3.5714285714285712E-2"/>
    <x v="0"/>
  </r>
  <r>
    <x v="28"/>
    <x v="0"/>
    <x v="1"/>
    <n v="135000"/>
    <n v="140000"/>
    <x v="2"/>
    <x v="2"/>
    <n v="1.037037037037037"/>
    <n v="3.5714285714285712E-2"/>
    <x v="0"/>
  </r>
  <r>
    <x v="29"/>
    <x v="7"/>
    <x v="2"/>
    <n v="82000"/>
    <n v="85000"/>
    <x v="1"/>
    <x v="1"/>
    <n v="1.0365853658536586"/>
    <n v="3.5294117647058823E-2"/>
    <x v="0"/>
  </r>
  <r>
    <x v="30"/>
    <x v="5"/>
    <x v="2"/>
    <n v="82000"/>
    <n v="85000"/>
    <x v="3"/>
    <x v="3"/>
    <n v="1.0365853658536586"/>
    <n v="3.5294117647058823E-2"/>
    <x v="0"/>
  </r>
  <r>
    <x v="31"/>
    <x v="3"/>
    <x v="2"/>
    <n v="85000"/>
    <n v="88000"/>
    <x v="2"/>
    <x v="2"/>
    <n v="1.0352941176470589"/>
    <n v="3.4090909090909088E-2"/>
    <x v="0"/>
  </r>
  <r>
    <x v="32"/>
    <x v="4"/>
    <x v="2"/>
    <n v="85000"/>
    <n v="88000"/>
    <x v="2"/>
    <x v="2"/>
    <n v="1.0352941176470589"/>
    <n v="3.4090909090909088E-2"/>
    <x v="0"/>
  </r>
  <r>
    <x v="33"/>
    <x v="8"/>
    <x v="1"/>
    <n v="145000"/>
    <n v="150000"/>
    <x v="1"/>
    <x v="1"/>
    <n v="1.0344827586206897"/>
    <n v="3.3333333333333333E-2"/>
    <x v="0"/>
  </r>
  <r>
    <x v="34"/>
    <x v="1"/>
    <x v="1"/>
    <n v="145000"/>
    <n v="150000"/>
    <x v="3"/>
    <x v="3"/>
    <n v="1.0344827586206897"/>
    <n v="3.3333333333333333E-2"/>
    <x v="0"/>
  </r>
  <r>
    <x v="15"/>
    <x v="3"/>
    <x v="1"/>
    <n v="145000"/>
    <n v="150000"/>
    <x v="4"/>
    <x v="4"/>
    <n v="1.0344827586206897"/>
    <n v="3.3333333333333333E-2"/>
    <x v="0"/>
  </r>
  <r>
    <x v="35"/>
    <x v="4"/>
    <x v="1"/>
    <n v="155000"/>
    <n v="160000"/>
    <x v="3"/>
    <x v="3"/>
    <n v="1.032258064516129"/>
    <n v="3.125E-2"/>
    <x v="0"/>
  </r>
  <r>
    <x v="36"/>
    <x v="3"/>
    <x v="2"/>
    <n v="95000"/>
    <n v="98000"/>
    <x v="1"/>
    <x v="1"/>
    <n v="1.0315789473684212"/>
    <n v="3.0612244897959183E-2"/>
    <x v="0"/>
  </r>
  <r>
    <x v="37"/>
    <x v="3"/>
    <x v="1"/>
    <n v="160000"/>
    <n v="165000"/>
    <x v="3"/>
    <x v="3"/>
    <n v="1.03125"/>
    <n v="3.0303030303030304E-2"/>
    <x v="0"/>
  </r>
  <r>
    <x v="38"/>
    <x v="3"/>
    <x v="1"/>
    <n v="160000"/>
    <n v="165000"/>
    <x v="2"/>
    <x v="2"/>
    <n v="1.03125"/>
    <n v="3.0303030303030304E-2"/>
    <x v="0"/>
  </r>
  <r>
    <x v="39"/>
    <x v="1"/>
    <x v="1"/>
    <n v="165000"/>
    <n v="170000"/>
    <x v="4"/>
    <x v="4"/>
    <n v="1.0303030303030303"/>
    <n v="2.9411764705882353E-2"/>
    <x v="0"/>
  </r>
  <r>
    <x v="40"/>
    <x v="1"/>
    <x v="1"/>
    <n v="165000"/>
    <n v="170000"/>
    <x v="2"/>
    <x v="2"/>
    <n v="1.0303030303030303"/>
    <n v="2.9411764705882353E-2"/>
    <x v="0"/>
  </r>
  <r>
    <x v="41"/>
    <x v="4"/>
    <x v="2"/>
    <n v="80000"/>
    <n v="82000"/>
    <x v="4"/>
    <x v="4"/>
    <n v="1.0249999999999999"/>
    <n v="2.4390243902439025E-2"/>
    <x v="0"/>
  </r>
  <r>
    <x v="42"/>
    <x v="5"/>
    <x v="2"/>
    <n v="82000"/>
    <n v="84000"/>
    <x v="4"/>
    <x v="4"/>
    <n v="1.024390243902439"/>
    <n v="2.3809523809523808E-2"/>
    <x v="0"/>
  </r>
  <r>
    <x v="43"/>
    <x v="3"/>
    <x v="0"/>
    <n v="110000"/>
    <n v="112000"/>
    <x v="3"/>
    <x v="3"/>
    <n v="1.0181818181818181"/>
    <n v="1.7857142857142856E-2"/>
    <x v="0"/>
  </r>
  <r>
    <x v="44"/>
    <x v="4"/>
    <x v="2"/>
    <n v="88000"/>
    <n v="89000"/>
    <x v="1"/>
    <x v="1"/>
    <n v="1.0113636363636365"/>
    <n v="1.1235955056179775E-2"/>
    <x v="0"/>
  </r>
  <r>
    <x v="45"/>
    <x v="9"/>
    <x v="2"/>
    <n v="90000"/>
    <n v="91000"/>
    <x v="0"/>
    <x v="0"/>
    <n v="1.0111111111111111"/>
    <n v="1.098901098901099E-2"/>
    <x v="0"/>
  </r>
  <r>
    <x v="46"/>
    <x v="3"/>
    <x v="1"/>
    <n v="160000"/>
    <n v="160000"/>
    <x v="0"/>
    <x v="0"/>
    <n v="1"/>
    <n v="0"/>
    <x v="0"/>
  </r>
  <r>
    <x v="47"/>
    <x v="6"/>
    <x v="2"/>
    <n v="95000"/>
    <n v="95000"/>
    <x v="0"/>
    <x v="0"/>
    <n v="1"/>
    <n v="0"/>
    <x v="0"/>
  </r>
  <r>
    <x v="48"/>
    <x v="3"/>
    <x v="2"/>
    <n v="88000"/>
    <n v="88000"/>
    <x v="1"/>
    <x v="1"/>
    <n v="1"/>
    <n v="0"/>
    <x v="0"/>
  </r>
  <r>
    <x v="49"/>
    <x v="3"/>
    <x v="2"/>
    <n v="92000"/>
    <n v="92000"/>
    <x v="1"/>
    <x v="1"/>
    <n v="1"/>
    <n v="0"/>
    <x v="0"/>
  </r>
  <r>
    <x v="50"/>
    <x v="3"/>
    <x v="0"/>
    <n v="135000"/>
    <n v="135000"/>
    <x v="1"/>
    <x v="1"/>
    <n v="1"/>
    <n v="0"/>
    <x v="0"/>
  </r>
  <r>
    <x v="51"/>
    <x v="4"/>
    <x v="2"/>
    <n v="90000"/>
    <n v="90000"/>
    <x v="3"/>
    <x v="3"/>
    <n v="1"/>
    <n v="0"/>
    <x v="0"/>
  </r>
  <r>
    <x v="52"/>
    <x v="3"/>
    <x v="0"/>
    <n v="115000"/>
    <n v="115000"/>
    <x v="3"/>
    <x v="3"/>
    <n v="1"/>
    <n v="0"/>
    <x v="0"/>
  </r>
  <r>
    <x v="53"/>
    <x v="3"/>
    <x v="2"/>
    <n v="85000"/>
    <n v="85000"/>
    <x v="4"/>
    <x v="4"/>
    <n v="1"/>
    <n v="0"/>
    <x v="0"/>
  </r>
  <r>
    <x v="54"/>
    <x v="2"/>
    <x v="2"/>
    <n v="95000"/>
    <n v="95000"/>
    <x v="4"/>
    <x v="4"/>
    <n v="1"/>
    <n v="0"/>
    <x v="0"/>
  </r>
  <r>
    <x v="55"/>
    <x v="3"/>
    <x v="2"/>
    <n v="95000"/>
    <n v="95000"/>
    <x v="2"/>
    <x v="2"/>
    <n v="1"/>
    <n v="0"/>
    <x v="0"/>
  </r>
  <r>
    <x v="56"/>
    <x v="3"/>
    <x v="0"/>
    <n v="130000"/>
    <n v="130000"/>
    <x v="2"/>
    <x v="2"/>
    <n v="1"/>
    <n v="0"/>
    <x v="0"/>
  </r>
  <r>
    <x v="57"/>
    <x v="3"/>
    <x v="2"/>
    <n v="88000"/>
    <n v="87000"/>
    <x v="4"/>
    <x v="4"/>
    <n v="0.98863636363636365"/>
    <n v="-1.1494252873563218E-2"/>
    <x v="1"/>
  </r>
  <r>
    <x v="58"/>
    <x v="3"/>
    <x v="0"/>
    <n v="130000"/>
    <n v="128000"/>
    <x v="0"/>
    <x v="0"/>
    <n v="0.98461538461538467"/>
    <n v="-1.5625E-2"/>
    <x v="1"/>
  </r>
  <r>
    <x v="59"/>
    <x v="3"/>
    <x v="2"/>
    <n v="92000"/>
    <n v="90000"/>
    <x v="4"/>
    <x v="4"/>
    <n v="0.97826086956521741"/>
    <n v="-2.2222222222222223E-2"/>
    <x v="1"/>
  </r>
  <r>
    <x v="60"/>
    <x v="2"/>
    <x v="2"/>
    <n v="92000"/>
    <n v="90000"/>
    <x v="2"/>
    <x v="2"/>
    <n v="0.97826086956521741"/>
    <n v="-2.2222222222222223E-2"/>
    <x v="1"/>
  </r>
  <r>
    <x v="61"/>
    <x v="0"/>
    <x v="2"/>
    <n v="85000"/>
    <n v="83000"/>
    <x v="1"/>
    <x v="1"/>
    <n v="0.97647058823529409"/>
    <n v="-2.4096385542168676E-2"/>
    <x v="1"/>
  </r>
  <r>
    <x v="62"/>
    <x v="3"/>
    <x v="0"/>
    <n v="125000"/>
    <n v="122000"/>
    <x v="4"/>
    <x v="4"/>
    <n v="0.97599999999999998"/>
    <n v="-2.4590163934426229E-2"/>
    <x v="1"/>
  </r>
  <r>
    <x v="63"/>
    <x v="3"/>
    <x v="2"/>
    <n v="82000"/>
    <n v="80000"/>
    <x v="2"/>
    <x v="2"/>
    <n v="0.97560975609756095"/>
    <n v="-2.5000000000000001E-2"/>
    <x v="1"/>
  </r>
  <r>
    <x v="64"/>
    <x v="1"/>
    <x v="2"/>
    <n v="80000"/>
    <n v="78000"/>
    <x v="1"/>
    <x v="1"/>
    <n v="0.97499999999999998"/>
    <n v="-2.564102564102564E-2"/>
    <x v="1"/>
  </r>
  <r>
    <x v="65"/>
    <x v="3"/>
    <x v="2"/>
    <n v="80000"/>
    <n v="78000"/>
    <x v="3"/>
    <x v="3"/>
    <n v="0.97499999999999998"/>
    <n v="-2.564102564102564E-2"/>
    <x v="1"/>
  </r>
  <r>
    <x v="66"/>
    <x v="2"/>
    <x v="0"/>
    <n v="195000"/>
    <n v="190000"/>
    <x v="3"/>
    <x v="3"/>
    <n v="0.97435897435897434"/>
    <n v="-2.6315789473684209E-2"/>
    <x v="1"/>
  </r>
  <r>
    <x v="67"/>
    <x v="2"/>
    <x v="0"/>
    <n v="195000"/>
    <n v="190000"/>
    <x v="2"/>
    <x v="2"/>
    <n v="0.97435897435897434"/>
    <n v="-2.6315789473684209E-2"/>
    <x v="1"/>
  </r>
  <r>
    <x v="68"/>
    <x v="2"/>
    <x v="0"/>
    <n v="190000"/>
    <n v="185000"/>
    <x v="0"/>
    <x v="0"/>
    <n v="0.97368421052631582"/>
    <n v="-2.7027027027027029E-2"/>
    <x v="1"/>
  </r>
  <r>
    <x v="69"/>
    <x v="2"/>
    <x v="0"/>
    <n v="190000"/>
    <n v="185000"/>
    <x v="4"/>
    <x v="4"/>
    <n v="0.97368421052631582"/>
    <n v="-2.7027027027027029E-2"/>
    <x v="1"/>
  </r>
  <r>
    <x v="70"/>
    <x v="5"/>
    <x v="0"/>
    <n v="185000"/>
    <n v="180000"/>
    <x v="3"/>
    <x v="3"/>
    <n v="0.97297297297297303"/>
    <n v="-2.7777777777777776E-2"/>
    <x v="1"/>
  </r>
  <r>
    <x v="71"/>
    <x v="2"/>
    <x v="0"/>
    <n v="180000"/>
    <n v="175000"/>
    <x v="1"/>
    <x v="1"/>
    <n v="0.97222222222222221"/>
    <n v="-2.8571428571428571E-2"/>
    <x v="1"/>
  </r>
  <r>
    <x v="72"/>
    <x v="2"/>
    <x v="1"/>
    <n v="165000"/>
    <n v="160000"/>
    <x v="1"/>
    <x v="1"/>
    <n v="0.96969696969696972"/>
    <n v="-3.125E-2"/>
    <x v="1"/>
  </r>
  <r>
    <x v="73"/>
    <x v="1"/>
    <x v="1"/>
    <n v="160000"/>
    <n v="155000"/>
    <x v="4"/>
    <x v="4"/>
    <n v="0.96875"/>
    <n v="-3.2258064516129031E-2"/>
    <x v="1"/>
  </r>
  <r>
    <x v="74"/>
    <x v="2"/>
    <x v="2"/>
    <n v="95000"/>
    <n v="92000"/>
    <x v="3"/>
    <x v="3"/>
    <n v="0.96842105263157896"/>
    <n v="-3.2608695652173912E-2"/>
    <x v="1"/>
  </r>
  <r>
    <x v="75"/>
    <x v="1"/>
    <x v="1"/>
    <n v="155000"/>
    <n v="150000"/>
    <x v="2"/>
    <x v="2"/>
    <n v="0.967741935483871"/>
    <n v="-3.3333333333333333E-2"/>
    <x v="1"/>
  </r>
  <r>
    <x v="76"/>
    <x v="1"/>
    <x v="1"/>
    <n v="150000"/>
    <n v="145000"/>
    <x v="1"/>
    <x v="1"/>
    <n v="0.96666666666666667"/>
    <n v="-3.4482758620689655E-2"/>
    <x v="1"/>
  </r>
  <r>
    <x v="77"/>
    <x v="3"/>
    <x v="2"/>
    <n v="88000"/>
    <n v="85000"/>
    <x v="3"/>
    <x v="3"/>
    <n v="0.96590909090909094"/>
    <n v="-3.5294117647058823E-2"/>
    <x v="1"/>
  </r>
  <r>
    <x v="78"/>
    <x v="1"/>
    <x v="1"/>
    <n v="145000"/>
    <n v="140000"/>
    <x v="4"/>
    <x v="4"/>
    <n v="0.96551724137931039"/>
    <n v="-3.5714285714285712E-2"/>
    <x v="1"/>
  </r>
  <r>
    <x v="79"/>
    <x v="1"/>
    <x v="1"/>
    <n v="145000"/>
    <n v="140000"/>
    <x v="2"/>
    <x v="2"/>
    <n v="0.96551724137931039"/>
    <n v="-3.5714285714285712E-2"/>
    <x v="1"/>
  </r>
  <r>
    <x v="80"/>
    <x v="3"/>
    <x v="2"/>
    <n v="85000"/>
    <n v="82000"/>
    <x v="3"/>
    <x v="3"/>
    <n v="0.96470588235294119"/>
    <n v="-3.6585365853658534E-2"/>
    <x v="1"/>
  </r>
  <r>
    <x v="81"/>
    <x v="5"/>
    <x v="1"/>
    <n v="140000"/>
    <n v="135000"/>
    <x v="0"/>
    <x v="0"/>
    <n v="0.9642857142857143"/>
    <n v="-3.7037037037037035E-2"/>
    <x v="1"/>
  </r>
  <r>
    <x v="82"/>
    <x v="0"/>
    <x v="1"/>
    <n v="135000"/>
    <n v="130000"/>
    <x v="3"/>
    <x v="3"/>
    <n v="0.96296296296296291"/>
    <n v="-3.8461538461538464E-2"/>
    <x v="1"/>
  </r>
  <r>
    <x v="83"/>
    <x v="3"/>
    <x v="0"/>
    <n v="135000"/>
    <n v="130000"/>
    <x v="4"/>
    <x v="4"/>
    <n v="0.96296296296296291"/>
    <n v="-3.8461538461538464E-2"/>
    <x v="1"/>
  </r>
  <r>
    <x v="84"/>
    <x v="3"/>
    <x v="0"/>
    <n v="120000"/>
    <n v="115000"/>
    <x v="0"/>
    <x v="0"/>
    <n v="0.95833333333333337"/>
    <n v="-4.3478260869565216E-2"/>
    <x v="1"/>
  </r>
  <r>
    <x v="85"/>
    <x v="3"/>
    <x v="0"/>
    <n v="120000"/>
    <n v="115000"/>
    <x v="1"/>
    <x v="1"/>
    <n v="0.95833333333333337"/>
    <n v="-4.3478260869565216E-2"/>
    <x v="1"/>
  </r>
  <r>
    <x v="86"/>
    <x v="5"/>
    <x v="0"/>
    <n v="115000"/>
    <n v="110000"/>
    <x v="0"/>
    <x v="0"/>
    <n v="0.95652173913043481"/>
    <n v="-4.5454545454545456E-2"/>
    <x v="1"/>
  </r>
  <r>
    <x v="87"/>
    <x v="3"/>
    <x v="0"/>
    <n v="115000"/>
    <n v="110000"/>
    <x v="2"/>
    <x v="2"/>
    <n v="0.95652173913043481"/>
    <n v="-4.5454545454545456E-2"/>
    <x v="1"/>
  </r>
  <r>
    <x v="88"/>
    <x v="5"/>
    <x v="0"/>
    <n v="110000"/>
    <n v="105000"/>
    <x v="4"/>
    <x v="4"/>
    <n v="0.95454545454545459"/>
    <n v="-4.7619047619047616E-2"/>
    <x v="1"/>
  </r>
  <r>
    <x v="89"/>
    <x v="5"/>
    <x v="1"/>
    <n v="145000"/>
    <n v="138000"/>
    <x v="1"/>
    <x v="1"/>
    <n v="0.9517241379310345"/>
    <n v="-5.0724637681159424E-2"/>
    <x v="1"/>
  </r>
  <r>
    <x v="90"/>
    <x v="4"/>
    <x v="2"/>
    <n v="90000"/>
    <n v="85000"/>
    <x v="0"/>
    <x v="0"/>
    <n v="0.94444444444444442"/>
    <n v="-5.8823529411764705E-2"/>
    <x v="1"/>
  </r>
  <r>
    <x v="91"/>
    <x v="4"/>
    <x v="2"/>
    <n v="90000"/>
    <n v="85000"/>
    <x v="2"/>
    <x v="2"/>
    <n v="0.94444444444444442"/>
    <n v="-5.8823529411764705E-2"/>
    <x v="1"/>
  </r>
  <r>
    <x v="92"/>
    <x v="1"/>
    <x v="2"/>
    <n v="85000"/>
    <n v="80000"/>
    <x v="0"/>
    <x v="0"/>
    <n v="0.94117647058823528"/>
    <n v="-6.25E-2"/>
    <x v="1"/>
  </r>
  <r>
    <x v="93"/>
    <x v="3"/>
    <x v="1"/>
    <n v="165000"/>
    <n v="155000"/>
    <x v="3"/>
    <x v="3"/>
    <n v="0.93939393939393945"/>
    <n v="-6.4516129032258063E-2"/>
    <x v="1"/>
  </r>
  <r>
    <x v="94"/>
    <x v="9"/>
    <x v="2"/>
    <n v="80000"/>
    <n v="75000"/>
    <x v="0"/>
    <x v="0"/>
    <n v="0.9375"/>
    <n v="-6.6666666666666666E-2"/>
    <x v="1"/>
  </r>
  <r>
    <x v="95"/>
    <x v="6"/>
    <x v="1"/>
    <n v="130000"/>
    <n v="120000"/>
    <x v="0"/>
    <x v="0"/>
    <n v="0.92307692307692313"/>
    <n v="-8.3333333333333329E-2"/>
    <x v="1"/>
  </r>
  <r>
    <x v="96"/>
    <x v="4"/>
    <x v="0"/>
    <n v="105000"/>
    <n v="95000"/>
    <x v="1"/>
    <x v="1"/>
    <n v="0.90476190476190477"/>
    <n v="-0.10526315789473684"/>
    <x v="1"/>
  </r>
  <r>
    <x v="97"/>
    <x v="3"/>
    <x v="1"/>
    <n v="150000"/>
    <n v="130000"/>
    <x v="0"/>
    <x v="0"/>
    <n v="0.8666666666666667"/>
    <n v="-0.1538461538461538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B3335A-DF38-461E-8A09-9A4A1B5AA83C}" name="Monthly_Targe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y Target" colHeaderCaption="Target Status">
  <location ref="A39:D46" firstHeaderRow="1" firstDataRow="2" firstDataCol="1"/>
  <pivotFields count="10">
    <pivotField showAll="0"/>
    <pivotField showAll="0"/>
    <pivotField showAll="0"/>
    <pivotField showAll="0"/>
    <pivotField showAll="0"/>
    <pivotField numFmtId="14" showAll="0">
      <items count="6">
        <item x="0"/>
        <item x="1"/>
        <item x="3"/>
        <item x="4"/>
        <item x="2"/>
        <item t="default"/>
      </items>
    </pivotField>
    <pivotField axis="axisRow" showAll="0">
      <items count="6">
        <item x="0"/>
        <item x="1"/>
        <item x="3"/>
        <item x="4"/>
        <item x="2"/>
        <item t="default"/>
      </items>
    </pivotField>
    <pivotField numFmtId="10" showAll="0"/>
    <pivotField numFmtId="10" showAll="0"/>
    <pivotField axis="axisCol" dataField="1" showAll="0">
      <items count="3">
        <item x="1"/>
        <item x="0"/>
        <item t="default"/>
      </items>
    </pivotField>
  </pivotFields>
  <rowFields count="1">
    <field x="6"/>
  </rowFields>
  <rowItems count="6">
    <i>
      <x/>
    </i>
    <i>
      <x v="1"/>
    </i>
    <i>
      <x v="2"/>
    </i>
    <i>
      <x v="3"/>
    </i>
    <i>
      <x v="4"/>
    </i>
    <i t="grand">
      <x/>
    </i>
  </rowItems>
  <colFields count="1">
    <field x="9"/>
  </colFields>
  <colItems count="3">
    <i>
      <x/>
    </i>
    <i>
      <x v="1"/>
    </i>
    <i t="grand">
      <x/>
    </i>
  </colItems>
  <dataFields count="1">
    <dataField name="Count of Status" fld="9" subtotal="count" baseField="0" baseItem="0"/>
  </dataFields>
  <chartFormats count="2">
    <chartFormat chart="2" format="4" series="1">
      <pivotArea type="data" outline="0" fieldPosition="0">
        <references count="2">
          <reference field="4294967294" count="1" selected="0">
            <x v="0"/>
          </reference>
          <reference field="9" count="1" selected="0">
            <x v="0"/>
          </reference>
        </references>
      </pivotArea>
    </chartFormat>
    <chartFormat chart="2"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2FA5C3-EDD4-4D07-8C4A-C2C8849BCA1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colHeaderCaption="Status_Wise %">
  <location ref="A102:G108" firstHeaderRow="1" firstDataRow="3" firstDataCol="1"/>
  <pivotFields count="10">
    <pivotField showAll="0"/>
    <pivotField showAll="0"/>
    <pivotField axis="axisRow" showAll="0">
      <items count="4">
        <item x="1"/>
        <item x="0"/>
        <item x="2"/>
        <item t="default"/>
      </items>
    </pivotField>
    <pivotField showAll="0"/>
    <pivotField showAll="0"/>
    <pivotField showAll="0">
      <items count="6">
        <item x="0"/>
        <item x="1"/>
        <item x="3"/>
        <item x="4"/>
        <item x="2"/>
        <item t="default"/>
      </items>
    </pivotField>
    <pivotField showAll="0">
      <items count="6">
        <item x="0"/>
        <item x="1"/>
        <item x="3"/>
        <item x="4"/>
        <item x="2"/>
        <item t="default"/>
      </items>
    </pivotField>
    <pivotField numFmtId="10" showAll="0"/>
    <pivotField numFmtId="10" showAll="0"/>
    <pivotField axis="axisCol" dataField="1" showAll="0">
      <items count="3">
        <item x="1"/>
        <item x="0"/>
        <item t="default"/>
      </items>
    </pivotField>
  </pivotFields>
  <rowFields count="1">
    <field x="2"/>
  </rowFields>
  <rowItems count="4">
    <i>
      <x/>
    </i>
    <i>
      <x v="1"/>
    </i>
    <i>
      <x v="2"/>
    </i>
    <i t="grand">
      <x/>
    </i>
  </rowItems>
  <colFields count="2">
    <field x="9"/>
    <field x="-2"/>
  </colFields>
  <colItems count="6">
    <i>
      <x/>
      <x/>
    </i>
    <i r="1" i="1">
      <x v="1"/>
    </i>
    <i>
      <x v="1"/>
      <x/>
    </i>
    <i r="1" i="1">
      <x v="1"/>
    </i>
    <i t="grand">
      <x/>
    </i>
    <i t="grand" i="1">
      <x/>
    </i>
  </colItems>
  <dataFields count="2">
    <dataField name=" MonthWise Status (%)" fld="9" subtotal="count" baseField="6" baseItem="0" numFmtId="10">
      <extLst>
        <ext xmlns:x14="http://schemas.microsoft.com/office/spreadsheetml/2009/9/main" uri="{E15A36E0-9728-4e99-A89B-3F7291B0FE68}">
          <x14:dataField pivotShowAs="percentOfParentCol"/>
        </ext>
      </extLst>
    </dataField>
    <dataField name="Count of Status" fld="9" subtotal="count" baseField="0" baseItem="0"/>
  </dataFields>
  <chartFormats count="8">
    <chartFormat chart="1" format="0" series="1">
      <pivotArea type="data" outline="0" fieldPosition="0">
        <references count="2">
          <reference field="4294967294" count="1" selected="0">
            <x v="0"/>
          </reference>
          <reference field="9" count="1" selected="0">
            <x v="0"/>
          </reference>
        </references>
      </pivotArea>
    </chartFormat>
    <chartFormat chart="1" format="1" series="1">
      <pivotArea type="data" outline="0" fieldPosition="0">
        <references count="2">
          <reference field="4294967294" count="1" selected="0">
            <x v="1"/>
          </reference>
          <reference field="9" count="1" selected="0">
            <x v="0"/>
          </reference>
        </references>
      </pivotArea>
    </chartFormat>
    <chartFormat chart="1" format="2" series="1">
      <pivotArea type="data" outline="0" fieldPosition="0">
        <references count="2">
          <reference field="4294967294" count="1" selected="0">
            <x v="0"/>
          </reference>
          <reference field="9" count="1" selected="0">
            <x v="1"/>
          </reference>
        </references>
      </pivotArea>
    </chartFormat>
    <chartFormat chart="1" format="3" series="1">
      <pivotArea type="data" outline="0" fieldPosition="0">
        <references count="2">
          <reference field="4294967294" count="1" selected="0">
            <x v="1"/>
          </reference>
          <reference field="9" count="1" selected="0">
            <x v="1"/>
          </reference>
        </references>
      </pivotArea>
    </chartFormat>
    <chartFormat chart="6" format="8" series="1">
      <pivotArea type="data" outline="0" fieldPosition="0">
        <references count="2">
          <reference field="4294967294" count="1" selected="0">
            <x v="0"/>
          </reference>
          <reference field="9" count="1" selected="0">
            <x v="0"/>
          </reference>
        </references>
      </pivotArea>
    </chartFormat>
    <chartFormat chart="6" format="9" series="1">
      <pivotArea type="data" outline="0" fieldPosition="0">
        <references count="2">
          <reference field="4294967294" count="1" selected="0">
            <x v="0"/>
          </reference>
          <reference field="9" count="1" selected="0">
            <x v="1"/>
          </reference>
        </references>
      </pivotArea>
    </chartFormat>
    <chartFormat chart="6" format="10" series="1">
      <pivotArea type="data" outline="0" fieldPosition="0">
        <references count="2">
          <reference field="4294967294" count="1" selected="0">
            <x v="1"/>
          </reference>
          <reference field="9" count="1" selected="0">
            <x v="0"/>
          </reference>
        </references>
      </pivotArea>
    </chartFormat>
    <chartFormat chart="6" format="11" series="1">
      <pivotArea type="data" outline="0" fieldPosition="0">
        <references count="2">
          <reference field="4294967294" count="1" selected="0">
            <x v="1"/>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E09222-3947-423E-9FA9-DA7CCBFE991E}" name="Month_ProductWise Total Actual"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Product" colHeaderCaption="Month">
  <location ref="A50:D56" firstHeaderRow="1" firstDataRow="2" firstDataCol="1"/>
  <pivotFields count="10">
    <pivotField showAll="0"/>
    <pivotField showAll="0"/>
    <pivotField axis="axisCol" showAll="0">
      <items count="4">
        <item x="1"/>
        <item x="0"/>
        <item x="2"/>
        <item t="default"/>
      </items>
    </pivotField>
    <pivotField showAll="0"/>
    <pivotField dataField="1" showAll="0"/>
    <pivotField numFmtId="14" showAll="0">
      <items count="6">
        <item x="0"/>
        <item x="1"/>
        <item x="3"/>
        <item x="4"/>
        <item x="2"/>
        <item t="default"/>
      </items>
    </pivotField>
    <pivotField axis="axisRow" showAll="0">
      <items count="6">
        <item x="0"/>
        <item x="1"/>
        <item x="3"/>
        <item x="4"/>
        <item x="2"/>
        <item t="default"/>
      </items>
    </pivotField>
    <pivotField numFmtId="10" showAll="0"/>
    <pivotField numFmtId="10" showAll="0"/>
    <pivotField showAll="0"/>
  </pivotFields>
  <rowFields count="1">
    <field x="6"/>
  </rowFields>
  <rowItems count="5">
    <i>
      <x/>
    </i>
    <i>
      <x v="1"/>
    </i>
    <i>
      <x v="2"/>
    </i>
    <i>
      <x v="3"/>
    </i>
    <i>
      <x v="4"/>
    </i>
  </rowItems>
  <colFields count="1">
    <field x="2"/>
  </colFields>
  <colItems count="3">
    <i>
      <x/>
    </i>
    <i>
      <x v="1"/>
    </i>
    <i>
      <x v="2"/>
    </i>
  </colItems>
  <dataFields count="1">
    <dataField name="Sum of Actual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CA64F9-6A49-414E-A031-E88E6FC314B3}" name="TargetSales_Monthly_ProductWis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60:D66" firstHeaderRow="1" firstDataRow="2" firstDataCol="1"/>
  <pivotFields count="10">
    <pivotField showAll="0"/>
    <pivotField showAll="0"/>
    <pivotField axis="axisCol" showAll="0">
      <items count="4">
        <item x="1"/>
        <item x="0"/>
        <item x="2"/>
        <item t="default"/>
      </items>
    </pivotField>
    <pivotField dataField="1" showAll="0"/>
    <pivotField showAll="0"/>
    <pivotField numFmtId="14" showAll="0">
      <items count="6">
        <item x="0"/>
        <item x="1"/>
        <item x="3"/>
        <item x="4"/>
        <item x="2"/>
        <item t="default"/>
      </items>
    </pivotField>
    <pivotField axis="axisRow" showAll="0">
      <items count="6">
        <item x="0"/>
        <item x="1"/>
        <item x="3"/>
        <item x="4"/>
        <item x="2"/>
        <item t="default"/>
      </items>
    </pivotField>
    <pivotField numFmtId="10" showAll="0"/>
    <pivotField numFmtId="10" showAll="0"/>
    <pivotField showAll="0"/>
  </pivotFields>
  <rowFields count="1">
    <field x="6"/>
  </rowFields>
  <rowItems count="5">
    <i>
      <x/>
    </i>
    <i>
      <x v="1"/>
    </i>
    <i>
      <x v="2"/>
    </i>
    <i>
      <x v="3"/>
    </i>
    <i>
      <x v="4"/>
    </i>
  </rowItems>
  <colFields count="1">
    <field x="2"/>
  </colFields>
  <colItems count="3">
    <i>
      <x/>
    </i>
    <i>
      <x v="1"/>
    </i>
    <i>
      <x v="2"/>
    </i>
  </colItems>
  <dataFields count="1">
    <dataField name="Sum of Target (₹)"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FE9C9F-F768-4F74-9B06-CF1F6E9510D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colHeaderCaption="ProductWise">
  <location ref="A91:K99" firstHeaderRow="1" firstDataRow="3" firstDataCol="1"/>
  <pivotFields count="10">
    <pivotField showAll="0"/>
    <pivotField showAll="0"/>
    <pivotField axis="axisCol" showAll="0">
      <items count="4">
        <item x="1"/>
        <item x="0"/>
        <item x="2"/>
        <item t="default"/>
      </items>
    </pivotField>
    <pivotField showAll="0"/>
    <pivotField showAll="0"/>
    <pivotField showAll="0">
      <items count="6">
        <item x="0"/>
        <item x="1"/>
        <item x="3"/>
        <item x="4"/>
        <item x="2"/>
        <item t="default"/>
      </items>
    </pivotField>
    <pivotField axis="axisRow" showAll="0">
      <items count="6">
        <item x="0"/>
        <item x="1"/>
        <item x="3"/>
        <item x="4"/>
        <item x="2"/>
        <item t="default"/>
      </items>
    </pivotField>
    <pivotField numFmtId="10" showAll="0"/>
    <pivotField numFmtId="10" showAll="0"/>
    <pivotField axis="axisCol" dataField="1" showAll="0">
      <items count="3">
        <item x="1"/>
        <item x="0"/>
        <item t="default"/>
      </items>
    </pivotField>
  </pivotFields>
  <rowFields count="1">
    <field x="6"/>
  </rowFields>
  <rowItems count="6">
    <i>
      <x/>
    </i>
    <i>
      <x v="1"/>
    </i>
    <i>
      <x v="2"/>
    </i>
    <i>
      <x v="3"/>
    </i>
    <i>
      <x v="4"/>
    </i>
    <i t="grand">
      <x/>
    </i>
  </rowItems>
  <colFields count="2">
    <field x="2"/>
    <field x="9"/>
  </colFields>
  <colItems count="10">
    <i>
      <x/>
      <x/>
    </i>
    <i r="1">
      <x v="1"/>
    </i>
    <i t="default">
      <x/>
    </i>
    <i>
      <x v="1"/>
      <x/>
    </i>
    <i r="1">
      <x v="1"/>
    </i>
    <i t="default">
      <x v="1"/>
    </i>
    <i>
      <x v="2"/>
      <x/>
    </i>
    <i r="1">
      <x v="1"/>
    </i>
    <i t="default">
      <x v="2"/>
    </i>
    <i t="grand">
      <x/>
    </i>
  </colItems>
  <dataFields count="1">
    <dataField name="Count of Status" fld="9" subtotal="count" showDataAs="percentOfTotal"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E2AF56-8526-4B89-AAD4-9CFAA99E743F}" name="ProductWise_TotalSale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rowHeaderCaption="Products">
  <location ref="A17:B20" firstHeaderRow="1" firstDataRow="1" firstDataCol="1"/>
  <pivotFields count="10">
    <pivotField showAll="0"/>
    <pivotField showAll="0"/>
    <pivotField axis="axisRow" showAll="0">
      <items count="4">
        <item x="1"/>
        <item x="0"/>
        <item x="2"/>
        <item t="default"/>
      </items>
    </pivotField>
    <pivotField showAll="0"/>
    <pivotField dataField="1" showAll="0"/>
    <pivotField numFmtId="14" showAll="0">
      <items count="6">
        <item x="0"/>
        <item x="1"/>
        <item x="3"/>
        <item x="4"/>
        <item x="2"/>
        <item t="default"/>
      </items>
    </pivotField>
    <pivotField showAll="0">
      <items count="6">
        <item x="0"/>
        <item x="1"/>
        <item x="3"/>
        <item x="4"/>
        <item x="2"/>
        <item t="default"/>
      </items>
    </pivotField>
    <pivotField numFmtId="10" showAll="0"/>
    <pivotField numFmtId="10" showAll="0"/>
    <pivotField showAll="0"/>
  </pivotFields>
  <rowFields count="1">
    <field x="2"/>
  </rowFields>
  <rowItems count="3">
    <i>
      <x/>
    </i>
    <i>
      <x v="1"/>
    </i>
    <i>
      <x v="2"/>
    </i>
  </rowItems>
  <colItems count="1">
    <i/>
  </colItems>
  <dataFields count="1">
    <dataField name="Sum of Actual Sales(₹)" fld="4"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E97AB3-21F3-44D2-BAB7-547B73AF4724}" name="HighestPerfo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colHeaderCaption="Products">
  <location ref="A80:E87" firstHeaderRow="1" firstDataRow="2" firstDataCol="1"/>
  <pivotFields count="10">
    <pivotField dataField="1" showAll="0"/>
    <pivotField showAll="0"/>
    <pivotField axis="axisCol" showAll="0">
      <items count="4">
        <item x="1"/>
        <item x="0"/>
        <item x="2"/>
        <item t="default"/>
      </items>
    </pivotField>
    <pivotField showAll="0"/>
    <pivotField showAll="0"/>
    <pivotField showAll="0">
      <items count="6">
        <item x="0"/>
        <item x="1"/>
        <item x="3"/>
        <item x="4"/>
        <item x="2"/>
        <item t="default"/>
      </items>
    </pivotField>
    <pivotField axis="axisRow" showAll="0">
      <items count="6">
        <item x="0"/>
        <item x="1"/>
        <item x="3"/>
        <item x="4"/>
        <item x="2"/>
        <item t="default"/>
      </items>
    </pivotField>
    <pivotField numFmtId="10" showAll="0"/>
    <pivotField numFmtId="10" showAll="0"/>
    <pivotField showAll="0"/>
  </pivotFields>
  <rowFields count="1">
    <field x="6"/>
  </rowFields>
  <rowItems count="6">
    <i>
      <x/>
    </i>
    <i>
      <x v="1"/>
    </i>
    <i>
      <x v="2"/>
    </i>
    <i>
      <x v="3"/>
    </i>
    <i>
      <x v="4"/>
    </i>
    <i t="grand">
      <x/>
    </i>
  </rowItems>
  <colFields count="1">
    <field x="2"/>
  </colFields>
  <colItems count="4">
    <i>
      <x/>
    </i>
    <i>
      <x v="1"/>
    </i>
    <i>
      <x v="2"/>
    </i>
    <i t="grand">
      <x/>
    </i>
  </colItems>
  <dataFields count="1">
    <dataField name="Count of Ag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805735-26A1-447E-97FF-EB692CD57DA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32:E139" firstHeaderRow="1" firstDataRow="2" firstDataCol="1"/>
  <pivotFields count="10">
    <pivotField showAll="0"/>
    <pivotField showAll="0">
      <items count="11">
        <item x="4"/>
        <item x="8"/>
        <item x="1"/>
        <item x="7"/>
        <item x="2"/>
        <item x="5"/>
        <item x="3"/>
        <item x="0"/>
        <item x="6"/>
        <item x="9"/>
        <item t="default"/>
      </items>
    </pivotField>
    <pivotField axis="axisCol" showAll="0">
      <items count="4">
        <item x="1"/>
        <item x="0"/>
        <item x="2"/>
        <item t="default"/>
      </items>
    </pivotField>
    <pivotField showAll="0"/>
    <pivotField dataField="1" showAll="0"/>
    <pivotField numFmtId="14" showAll="0"/>
    <pivotField axis="axisRow" showAll="0">
      <items count="6">
        <item x="0"/>
        <item x="1"/>
        <item x="3"/>
        <item x="4"/>
        <item x="2"/>
        <item t="default"/>
      </items>
    </pivotField>
    <pivotField numFmtId="10" showAll="0"/>
    <pivotField numFmtId="10" showAll="0"/>
    <pivotField showAll="0"/>
  </pivotFields>
  <rowFields count="1">
    <field x="6"/>
  </rowFields>
  <rowItems count="6">
    <i>
      <x/>
    </i>
    <i>
      <x v="1"/>
    </i>
    <i>
      <x v="2"/>
    </i>
    <i>
      <x v="3"/>
    </i>
    <i>
      <x v="4"/>
    </i>
    <i t="grand">
      <x/>
    </i>
  </rowItems>
  <colFields count="1">
    <field x="2"/>
  </colFields>
  <colItems count="4">
    <i>
      <x/>
    </i>
    <i>
      <x v="1"/>
    </i>
    <i>
      <x v="2"/>
    </i>
    <i t="grand">
      <x/>
    </i>
  </colItems>
  <dataFields count="1">
    <dataField name="Sum of Actual Sales(₹)" fld="4" baseField="0" baseItem="0"/>
  </dataFields>
  <chartFormats count="3">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CF8765-D6DA-4171-8C2A-989B2B0C43FA}" name="RegionWise_TotalSale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Regions">
  <location ref="A3:B13" firstHeaderRow="1" firstDataRow="1" firstDataCol="1"/>
  <pivotFields count="10">
    <pivotField showAll="0"/>
    <pivotField axis="axisRow" showAll="0">
      <items count="11">
        <item x="4"/>
        <item x="8"/>
        <item x="1"/>
        <item x="7"/>
        <item x="2"/>
        <item x="5"/>
        <item x="3"/>
        <item x="0"/>
        <item x="6"/>
        <item x="9"/>
        <item t="default"/>
      </items>
    </pivotField>
    <pivotField showAll="0"/>
    <pivotField showAll="0"/>
    <pivotField dataField="1" showAll="0"/>
    <pivotField numFmtId="14" showAll="0">
      <items count="6">
        <item x="0"/>
        <item x="1"/>
        <item x="3"/>
        <item x="4"/>
        <item x="2"/>
        <item t="default"/>
      </items>
    </pivotField>
    <pivotField showAll="0">
      <items count="6">
        <item x="0"/>
        <item x="1"/>
        <item x="3"/>
        <item x="4"/>
        <item x="2"/>
        <item t="default"/>
      </items>
    </pivotField>
    <pivotField numFmtId="10" showAll="0"/>
    <pivotField numFmtId="10" showAll="0"/>
    <pivotField showAll="0"/>
  </pivotFields>
  <rowFields count="1">
    <field x="1"/>
  </rowFields>
  <rowItems count="10">
    <i>
      <x/>
    </i>
    <i>
      <x v="1"/>
    </i>
    <i>
      <x v="2"/>
    </i>
    <i>
      <x v="3"/>
    </i>
    <i>
      <x v="4"/>
    </i>
    <i>
      <x v="5"/>
    </i>
    <i>
      <x v="6"/>
    </i>
    <i>
      <x v="7"/>
    </i>
    <i>
      <x v="8"/>
    </i>
    <i>
      <x v="9"/>
    </i>
  </rowItems>
  <colItems count="1">
    <i/>
  </colItems>
  <dataFields count="1">
    <dataField name="Sum of Actual Sales(₹)" fld="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D2CEB3-3D73-49BE-9A83-664D85655ED9}" name="Product_RegionWise_Total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Regions" colHeaderCaption="Products">
  <location ref="A24:D35" firstHeaderRow="1" firstDataRow="2" firstDataCol="1"/>
  <pivotFields count="10">
    <pivotField showAll="0"/>
    <pivotField axis="axisRow" showAll="0">
      <items count="11">
        <item x="4"/>
        <item x="8"/>
        <item x="1"/>
        <item x="7"/>
        <item x="2"/>
        <item x="5"/>
        <item x="3"/>
        <item x="0"/>
        <item x="6"/>
        <item x="9"/>
        <item t="default"/>
      </items>
    </pivotField>
    <pivotField axis="axisCol" showAll="0">
      <items count="4">
        <item x="1"/>
        <item x="0"/>
        <item x="2"/>
        <item t="default"/>
      </items>
    </pivotField>
    <pivotField showAll="0"/>
    <pivotField dataField="1" showAll="0"/>
    <pivotField numFmtId="14" showAll="0">
      <items count="6">
        <item x="0"/>
        <item x="1"/>
        <item x="3"/>
        <item x="4"/>
        <item x="2"/>
        <item t="default"/>
      </items>
    </pivotField>
    <pivotField showAll="0">
      <items count="6">
        <item x="0"/>
        <item x="1"/>
        <item x="3"/>
        <item x="4"/>
        <item x="2"/>
        <item t="default"/>
      </items>
    </pivotField>
    <pivotField numFmtId="10" showAll="0"/>
    <pivotField numFmtId="10" showAll="0"/>
    <pivotField showAll="0"/>
  </pivotFields>
  <rowFields count="1">
    <field x="1"/>
  </rowFields>
  <rowItems count="10">
    <i>
      <x/>
    </i>
    <i>
      <x v="1"/>
    </i>
    <i>
      <x v="2"/>
    </i>
    <i>
      <x v="3"/>
    </i>
    <i>
      <x v="4"/>
    </i>
    <i>
      <x v="5"/>
    </i>
    <i>
      <x v="6"/>
    </i>
    <i>
      <x v="7"/>
    </i>
    <i>
      <x v="8"/>
    </i>
    <i>
      <x v="9"/>
    </i>
  </rowItems>
  <colFields count="1">
    <field x="2"/>
  </colFields>
  <colItems count="3">
    <i>
      <x/>
    </i>
    <i>
      <x v="1"/>
    </i>
    <i>
      <x v="2"/>
    </i>
  </colItems>
  <dataFields count="1">
    <dataField name="Sum of Actual Sales(₹)" fld="4" baseField="0" baseItem="0"/>
  </dataFields>
  <chartFormats count="6">
    <chartFormat chart="10" format="6" series="1">
      <pivotArea type="data" outline="0" fieldPosition="0">
        <references count="2">
          <reference field="4294967294" count="1" selected="0">
            <x v="0"/>
          </reference>
          <reference field="2" count="1" selected="0">
            <x v="0"/>
          </reference>
        </references>
      </pivotArea>
    </chartFormat>
    <chartFormat chart="10" format="7" series="1">
      <pivotArea type="data" outline="0" fieldPosition="0">
        <references count="2">
          <reference field="4294967294" count="1" selected="0">
            <x v="0"/>
          </reference>
          <reference field="2" count="1" selected="0">
            <x v="1"/>
          </reference>
        </references>
      </pivotArea>
    </chartFormat>
    <chartFormat chart="10" format="8" series="1">
      <pivotArea type="data" outline="0" fieldPosition="0">
        <references count="2">
          <reference field="4294967294" count="1" selected="0">
            <x v="0"/>
          </reference>
          <reference field="2" count="1" selected="0">
            <x v="2"/>
          </reference>
        </references>
      </pivotArea>
    </chartFormat>
    <chartFormat chart="10" format="9">
      <pivotArea type="data" outline="0" fieldPosition="0">
        <references count="3">
          <reference field="4294967294" count="1" selected="0">
            <x v="0"/>
          </reference>
          <reference field="1" count="1" selected="0">
            <x v="2"/>
          </reference>
          <reference field="2" count="1" selected="0">
            <x v="0"/>
          </reference>
        </references>
      </pivotArea>
    </chartFormat>
    <chartFormat chart="10" format="10">
      <pivotArea type="data" outline="0" fieldPosition="0">
        <references count="3">
          <reference field="4294967294" count="1" selected="0">
            <x v="0"/>
          </reference>
          <reference field="1" count="1" selected="0">
            <x v="6"/>
          </reference>
          <reference field="2" count="1" selected="0">
            <x v="1"/>
          </reference>
        </references>
      </pivotArea>
    </chartFormat>
    <chartFormat chart="10" format="11">
      <pivotArea type="data" outline="0" fieldPosition="0">
        <references count="3">
          <reference field="4294967294" count="1" selected="0">
            <x v="0"/>
          </reference>
          <reference field="1" count="1" selected="0">
            <x v="4"/>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BD8FFFD-BA25-4F93-9059-F56DCF5C37C9}" name="Product_MonthWise Varianc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Months" colHeaderCaption="Products">
  <location ref="A70:D76" firstHeaderRow="1" firstDataRow="2" firstDataCol="1"/>
  <pivotFields count="10">
    <pivotField showAll="0"/>
    <pivotField showAll="0"/>
    <pivotField axis="axisCol" showAll="0">
      <items count="4">
        <item x="1"/>
        <item x="0"/>
        <item x="2"/>
        <item t="default"/>
      </items>
    </pivotField>
    <pivotField showAll="0"/>
    <pivotField showAll="0"/>
    <pivotField numFmtId="14" showAll="0">
      <items count="6">
        <item x="0"/>
        <item x="1"/>
        <item x="3"/>
        <item x="4"/>
        <item x="2"/>
        <item t="default"/>
      </items>
    </pivotField>
    <pivotField axis="axisRow" showAll="0">
      <items count="6">
        <item x="0"/>
        <item x="1"/>
        <item x="3"/>
        <item x="4"/>
        <item x="2"/>
        <item t="default"/>
      </items>
    </pivotField>
    <pivotField numFmtId="10" showAll="0"/>
    <pivotField dataField="1" numFmtId="10" showAll="0"/>
    <pivotField showAll="0"/>
  </pivotFields>
  <rowFields count="1">
    <field x="6"/>
  </rowFields>
  <rowItems count="5">
    <i>
      <x/>
    </i>
    <i>
      <x v="1"/>
    </i>
    <i>
      <x v="2"/>
    </i>
    <i>
      <x v="3"/>
    </i>
    <i>
      <x v="4"/>
    </i>
  </rowItems>
  <colFields count="1">
    <field x="2"/>
  </colFields>
  <colItems count="3">
    <i>
      <x/>
    </i>
    <i>
      <x v="1"/>
    </i>
    <i>
      <x v="2"/>
    </i>
  </colItems>
  <dataFields count="1">
    <dataField name="Sum of Variance" fld="8" baseField="6" baseItem="5" numFmtId="10"/>
  </dataFields>
  <chartFormats count="6">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2">
          <reference field="4294967294" count="1" selected="0">
            <x v="0"/>
          </reference>
          <reference field="2" count="1" selected="0">
            <x v="2"/>
          </reference>
        </references>
      </pivotArea>
    </chartFormat>
    <chartFormat chart="4" format="12" series="1">
      <pivotArea type="data" outline="0" fieldPosition="0">
        <references count="2">
          <reference field="4294967294" count="1" selected="0">
            <x v="0"/>
          </reference>
          <reference field="2" count="1" selected="0">
            <x v="0"/>
          </reference>
        </references>
      </pivotArea>
    </chartFormat>
    <chartFormat chart="4" format="13" series="1">
      <pivotArea type="data" outline="0" fieldPosition="0">
        <references count="2">
          <reference field="4294967294" count="1" selected="0">
            <x v="0"/>
          </reference>
          <reference field="2" count="1" selected="0">
            <x v="1"/>
          </reference>
        </references>
      </pivotArea>
    </chartFormat>
    <chartFormat chart="4" format="14"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7CED3D5-D03C-4C9B-AED2-607B32D79E97}"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8" rowHeaderCaption="Region" colHeaderCaption="Products">
  <location ref="A115:G128" firstHeaderRow="1" firstDataRow="3" firstDataCol="1"/>
  <pivotFields count="10">
    <pivotField showAll="0"/>
    <pivotField axis="axisRow" showAll="0">
      <items count="11">
        <item x="4"/>
        <item x="8"/>
        <item x="1"/>
        <item x="7"/>
        <item x="2"/>
        <item x="5"/>
        <item x="3"/>
        <item x="0"/>
        <item x="6"/>
        <item x="9"/>
        <item t="default"/>
      </items>
    </pivotField>
    <pivotField axis="axisCol" showAll="0">
      <items count="4">
        <item x="1"/>
        <item x="0"/>
        <item x="2"/>
        <item t="default"/>
      </items>
    </pivotField>
    <pivotField showAll="0"/>
    <pivotField showAll="0"/>
    <pivotField showAll="0">
      <items count="6">
        <item x="0"/>
        <item x="1"/>
        <item x="3"/>
        <item x="4"/>
        <item x="2"/>
        <item t="default"/>
      </items>
    </pivotField>
    <pivotField showAll="0">
      <items count="6">
        <item x="0"/>
        <item x="1"/>
        <item x="3"/>
        <item x="4"/>
        <item x="2"/>
        <item t="default"/>
      </items>
    </pivotField>
    <pivotField dataField="1" numFmtId="10" showAll="0"/>
    <pivotField numFmtId="10" showAll="0"/>
    <pivotField showAll="0"/>
  </pivotFields>
  <rowFields count="1">
    <field x="1"/>
  </rowFields>
  <rowItems count="11">
    <i>
      <x/>
    </i>
    <i>
      <x v="1"/>
    </i>
    <i>
      <x v="2"/>
    </i>
    <i>
      <x v="3"/>
    </i>
    <i>
      <x v="4"/>
    </i>
    <i>
      <x v="5"/>
    </i>
    <i>
      <x v="6"/>
    </i>
    <i>
      <x v="7"/>
    </i>
    <i>
      <x v="8"/>
    </i>
    <i>
      <x v="9"/>
    </i>
    <i t="grand">
      <x/>
    </i>
  </rowItems>
  <colFields count="2">
    <field x="2"/>
    <field x="-2"/>
  </colFields>
  <colItems count="6">
    <i>
      <x/>
      <x/>
    </i>
    <i r="1" i="1">
      <x v="1"/>
    </i>
    <i>
      <x v="1"/>
      <x/>
    </i>
    <i r="1" i="1">
      <x v="1"/>
    </i>
    <i>
      <x v="2"/>
      <x/>
    </i>
    <i r="1" i="1">
      <x v="1"/>
    </i>
  </colItems>
  <dataFields count="2">
    <dataField name="Max of Achivement(%)" fld="7" subtotal="max" baseField="1" baseItem="0" numFmtId="9"/>
    <dataField name="Min of Achivement(%)" fld="7" subtotal="min" baseField="1" baseItem="0"/>
  </dataFields>
  <formats count="4">
    <format dxfId="3">
      <pivotArea collapsedLevelsAreSubtotals="1" fieldPosition="0">
        <references count="1">
          <reference field="1" count="0"/>
        </references>
      </pivotArea>
    </format>
    <format dxfId="2">
      <pivotArea collapsedLevelsAreSubtotals="1" fieldPosition="0">
        <references count="1">
          <reference field="1" count="8">
            <x v="0"/>
            <x v="2"/>
            <x v="4"/>
            <x v="5"/>
            <x v="6"/>
            <x v="7"/>
            <x v="8"/>
            <x v="9"/>
          </reference>
        </references>
      </pivotArea>
    </format>
    <format dxfId="1">
      <pivotArea grandRow="1" outline="0" collapsedLevelsAreSubtotals="1" fieldPosition="0"/>
    </format>
    <format dxfId="0">
      <pivotArea outline="0" fieldPosition="0">
        <references count="1">
          <reference field="4294967294" count="1">
            <x v="0"/>
          </reference>
        </references>
      </pivotArea>
    </format>
  </formats>
  <chartFormats count="2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0"/>
          </reference>
        </references>
      </pivotArea>
    </chartFormat>
    <chartFormat chart="1" format="4" series="1">
      <pivotArea type="data" outline="0" fieldPosition="0">
        <references count="2">
          <reference field="4294967294" count="1" selected="0">
            <x v="0"/>
          </reference>
          <reference field="2" count="1" selected="0">
            <x v="1"/>
          </reference>
        </references>
      </pivotArea>
    </chartFormat>
    <chartFormat chart="1" format="5" series="1">
      <pivotArea type="data" outline="0" fieldPosition="0">
        <references count="2">
          <reference field="4294967294" count="1" selected="0">
            <x v="0"/>
          </reference>
          <reference field="2" count="1" selected="0">
            <x v="2"/>
          </reference>
        </references>
      </pivotArea>
    </chartFormat>
    <chartFormat chart="5" format="12" series="1">
      <pivotArea type="data" outline="0" fieldPosition="0">
        <references count="2">
          <reference field="4294967294" count="1" selected="0">
            <x v="0"/>
          </reference>
          <reference field="2" count="1" selected="0">
            <x v="0"/>
          </reference>
        </references>
      </pivotArea>
    </chartFormat>
    <chartFormat chart="5" format="13" series="1">
      <pivotArea type="data" outline="0" fieldPosition="0">
        <references count="2">
          <reference field="4294967294" count="1" selected="0">
            <x v="0"/>
          </reference>
          <reference field="2" count="1" selected="0">
            <x v="1"/>
          </reference>
        </references>
      </pivotArea>
    </chartFormat>
    <chartFormat chart="5" format="14" series="1">
      <pivotArea type="data" outline="0" fieldPosition="0">
        <references count="2">
          <reference field="4294967294" count="1" selected="0">
            <x v="0"/>
          </reference>
          <reference field="2" count="1" selected="0">
            <x v="2"/>
          </reference>
        </references>
      </pivotArea>
    </chartFormat>
    <chartFormat chart="5" format="15" series="1">
      <pivotArea type="data" outline="0" fieldPosition="0">
        <references count="2">
          <reference field="4294967294" count="1" selected="0">
            <x v="1"/>
          </reference>
          <reference field="2" count="1" selected="0">
            <x v="0"/>
          </reference>
        </references>
      </pivotArea>
    </chartFormat>
    <chartFormat chart="5" format="16" series="1">
      <pivotArea type="data" outline="0" fieldPosition="0">
        <references count="2">
          <reference field="4294967294" count="1" selected="0">
            <x v="1"/>
          </reference>
          <reference field="2" count="1" selected="0">
            <x v="1"/>
          </reference>
        </references>
      </pivotArea>
    </chartFormat>
    <chartFormat chart="5" format="17" series="1">
      <pivotArea type="data" outline="0" fieldPosition="0">
        <references count="2">
          <reference field="4294967294" count="1" selected="0">
            <x v="1"/>
          </reference>
          <reference field="2" count="1" selected="0">
            <x v="2"/>
          </reference>
        </references>
      </pivotArea>
    </chartFormat>
    <chartFormat chart="6" format="0" series="1">
      <pivotArea type="data" outline="0" fieldPosition="0">
        <references count="2">
          <reference field="4294967294" count="1" selected="0">
            <x v="0"/>
          </reference>
          <reference field="2" count="1" selected="0">
            <x v="0"/>
          </reference>
        </references>
      </pivotArea>
    </chartFormat>
    <chartFormat chart="6" format="1" series="1">
      <pivotArea type="data" outline="0" fieldPosition="0">
        <references count="2">
          <reference field="4294967294" count="1" selected="0">
            <x v="1"/>
          </reference>
          <reference field="2" count="1" selected="0">
            <x v="0"/>
          </reference>
        </references>
      </pivotArea>
    </chartFormat>
    <chartFormat chart="6" format="2" series="1">
      <pivotArea type="data" outline="0" fieldPosition="0">
        <references count="2">
          <reference field="4294967294" count="1" selected="0">
            <x v="0"/>
          </reference>
          <reference field="2" count="1" selected="0">
            <x v="1"/>
          </reference>
        </references>
      </pivotArea>
    </chartFormat>
    <chartFormat chart="6" format="3" series="1">
      <pivotArea type="data" outline="0" fieldPosition="0">
        <references count="2">
          <reference field="4294967294" count="1" selected="0">
            <x v="1"/>
          </reference>
          <reference field="2" count="1" selected="0">
            <x v="1"/>
          </reference>
        </references>
      </pivotArea>
    </chartFormat>
    <chartFormat chart="6" format="4" series="1">
      <pivotArea type="data" outline="0" fieldPosition="0">
        <references count="2">
          <reference field="4294967294" count="1" selected="0">
            <x v="0"/>
          </reference>
          <reference field="2" count="1" selected="0">
            <x v="2"/>
          </reference>
        </references>
      </pivotArea>
    </chartFormat>
    <chartFormat chart="6" format="5" series="1">
      <pivotArea type="data" outline="0" fieldPosition="0">
        <references count="2">
          <reference field="4294967294" count="1" selected="0">
            <x v="1"/>
          </reference>
          <reference field="2" count="1" selected="0">
            <x v="2"/>
          </reference>
        </references>
      </pivotArea>
    </chartFormat>
    <chartFormat chart="7" format="0" series="1">
      <pivotArea type="data" outline="0" fieldPosition="0">
        <references count="2">
          <reference field="4294967294" count="1" selected="0">
            <x v="0"/>
          </reference>
          <reference field="2" count="1" selected="0">
            <x v="0"/>
          </reference>
        </references>
      </pivotArea>
    </chartFormat>
    <chartFormat chart="7" format="1" series="1">
      <pivotArea type="data" outline="0" fieldPosition="0">
        <references count="2">
          <reference field="4294967294" count="1" selected="0">
            <x v="1"/>
          </reference>
          <reference field="2" count="1" selected="0">
            <x v="0"/>
          </reference>
        </references>
      </pivotArea>
    </chartFormat>
    <chartFormat chart="7" format="2" series="1">
      <pivotArea type="data" outline="0" fieldPosition="0">
        <references count="2">
          <reference field="4294967294" count="1" selected="0">
            <x v="0"/>
          </reference>
          <reference field="2" count="1" selected="0">
            <x v="1"/>
          </reference>
        </references>
      </pivotArea>
    </chartFormat>
    <chartFormat chart="7" format="3" series="1">
      <pivotArea type="data" outline="0" fieldPosition="0">
        <references count="2">
          <reference field="4294967294" count="1" selected="0">
            <x v="1"/>
          </reference>
          <reference field="2" count="1" selected="0">
            <x v="1"/>
          </reference>
        </references>
      </pivotArea>
    </chartFormat>
    <chartFormat chart="7" format="4" series="1">
      <pivotArea type="data" outline="0" fieldPosition="0">
        <references count="2">
          <reference field="4294967294" count="1" selected="0">
            <x v="0"/>
          </reference>
          <reference field="2" count="1" selected="0">
            <x v="2"/>
          </reference>
        </references>
      </pivotArea>
    </chartFormat>
    <chartFormat chart="7" format="5" series="1">
      <pivotArea type="data" outline="0" fieldPosition="0">
        <references count="2">
          <reference field="4294967294"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7953B1B-84D5-4FBE-9BC6-AEE6D7583B44}" autoFormatId="16" applyNumberFormats="0" applyBorderFormats="0" applyFontFormats="0" applyPatternFormats="0" applyAlignmentFormats="0" applyWidthHeightFormats="0">
  <queryTableRefresh nextId="12" unboundColumnsRight="4">
    <queryTableFields count="10">
      <queryTableField id="1" name="Agent Name" tableColumnId="1"/>
      <queryTableField id="2" name="Region" tableColumnId="2"/>
      <queryTableField id="3" name="Product" tableColumnId="3"/>
      <queryTableField id="4" name="Target (₹)" tableColumnId="4"/>
      <queryTableField id="5" name="Actual Sales(₹)" tableColumnId="5"/>
      <queryTableField id="6" name="Month" tableColumnId="6"/>
      <queryTableField id="10" dataBound="0" tableColumnId="10"/>
      <queryTableField id="7" dataBound="0" tableColumnId="7"/>
      <queryTableField id="11" dataBound="0" tableColumnId="11"/>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39CE4F8F-DF5A-42DB-9BE3-6D002CA6880C}" sourceName="Month2">
  <pivotTables>
    <pivotTable tabId="1" name="RegionWise_TotalSales"/>
    <pivotTable tabId="1" name="HighestPerfomer"/>
    <pivotTable tabId="1" name="Month_ProductWise Total Actual"/>
    <pivotTable tabId="1" name="Monthly_Target"/>
    <pivotTable tabId="1" name="PivotTable1"/>
    <pivotTable tabId="1" name="PivotTable2"/>
    <pivotTable tabId="1" name="PivotTable5"/>
    <pivotTable tabId="1" name="Product_MonthWise Variance"/>
    <pivotTable tabId="1" name="Product_RegionWise_TotalSales"/>
    <pivotTable tabId="1" name="ProductWise_TotalSales"/>
    <pivotTable tabId="1" name="TargetSales_Monthly_ProductWise"/>
  </pivotTables>
  <data>
    <tabular pivotCacheId="1581818607">
      <items count="5">
        <i x="0"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2" xr10:uid="{889259EE-2FD1-4C71-8C43-4A9DD7EF888C}" cache="Slicer_Month2" caption="Month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3CA330-E62E-4031-B54D-7693CDDF7452}" name="Table_MIS_RegionalSalesData" displayName="Table_MIS_RegionalSalesData" ref="A1:J100" tableType="queryTable" totalsRowShown="0">
  <autoFilter ref="A1:J100" xr:uid="{263CA330-E62E-4031-B54D-7693CDDF7452}"/>
  <sortState xmlns:xlrd2="http://schemas.microsoft.com/office/spreadsheetml/2017/richdata2" ref="A2:J100">
    <sortCondition descending="1" ref="H1:H100"/>
  </sortState>
  <tableColumns count="10">
    <tableColumn id="1" xr3:uid="{2936F4D6-00D1-4B40-8932-2DBE0E8AFD02}" uniqueName="1" name="Agent Name" queryTableFieldId="1" dataDxfId="11"/>
    <tableColumn id="2" xr3:uid="{7B0A9EE0-14A7-4B72-8AA5-FA4CA3C4A525}" uniqueName="2" name="Region" queryTableFieldId="2" dataDxfId="10"/>
    <tableColumn id="3" xr3:uid="{4C5CF0B0-5CF6-4EB7-95FE-BFD069272332}" uniqueName="3" name="Product" queryTableFieldId="3" dataDxfId="9"/>
    <tableColumn id="4" xr3:uid="{2672A081-9E68-442F-9C7C-7AF7A9E086C8}" uniqueName="4" name="Target (₹)" queryTableFieldId="4"/>
    <tableColumn id="5" xr3:uid="{8B554545-3E69-4AF9-BCB8-945FC429FD18}" uniqueName="5" name="Actual Sales(₹)" queryTableFieldId="5"/>
    <tableColumn id="6" xr3:uid="{265A78F4-690F-4359-BB3F-E8E86E94971C}" uniqueName="6" name="Month" queryTableFieldId="6" dataDxfId="8"/>
    <tableColumn id="10" xr3:uid="{60E37070-58BA-4523-B91C-AB27C03DCBE9}" uniqueName="10" name="Month2" queryTableFieldId="10" dataDxfId="7">
      <calculatedColumnFormula>TEXT(Table_MIS_RegionalSalesData[[#This Row],[Month]],"MMMM")</calculatedColumnFormula>
    </tableColumn>
    <tableColumn id="7" xr3:uid="{8FE6E1EB-BF0D-430D-BFC5-FC6455B96FAC}" uniqueName="7" name="Achivement(%)" queryTableFieldId="7" dataDxfId="6" dataCellStyle="Percent">
      <calculatedColumnFormula>Table_MIS_RegionalSalesData[[#This Row],[Actual Sales(₹)]]/Table_MIS_RegionalSalesData[[#This Row],[Target (₹)]]</calculatedColumnFormula>
    </tableColumn>
    <tableColumn id="11" xr3:uid="{06B280CA-A449-4F0B-B38E-50E48F83A657}" uniqueName="11" name="Variance" queryTableFieldId="11" dataDxfId="5" dataCellStyle="Percent">
      <calculatedColumnFormula>(Table_MIS_RegionalSalesData[[#This Row],[Actual Sales(₹)]]-Table_MIS_RegionalSalesData[[#This Row],[Target (₹)]])/Table_MIS_RegionalSalesData[[#This Row],[Actual Sales(₹)]]</calculatedColumnFormula>
    </tableColumn>
    <tableColumn id="8" xr3:uid="{6209FE95-C7AB-4177-A7D9-2E1C38AD2532}" uniqueName="8" name="Status" queryTableFieldId="8" dataDxfId="4">
      <calculatedColumnFormula>IF(Table_MIS_RegionalSalesData[[#This Row],[Achivement(%)]]&gt;=100%,"Met Target","Below Target")</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67482-25F6-453D-AA5B-523D758A2FE3}">
  <dimension ref="A1:L100"/>
  <sheetViews>
    <sheetView workbookViewId="0">
      <selection activeCell="H113" sqref="H113"/>
    </sheetView>
  </sheetViews>
  <sheetFormatPr defaultRowHeight="15" x14ac:dyDescent="0.25"/>
  <cols>
    <col min="1" max="1" width="18.85546875" bestFit="1" customWidth="1"/>
    <col min="2" max="2" width="12" bestFit="1" customWidth="1"/>
    <col min="3" max="3" width="14.7109375" bestFit="1" customWidth="1"/>
    <col min="4" max="4" width="11.85546875" bestFit="1" customWidth="1"/>
    <col min="5" max="5" width="16.5703125" bestFit="1" customWidth="1"/>
    <col min="6" max="6" width="10.42578125" bestFit="1" customWidth="1"/>
    <col min="7" max="7" width="10.28515625" bestFit="1" customWidth="1"/>
    <col min="8" max="8" width="17.140625" bestFit="1" customWidth="1"/>
    <col min="9" max="9" width="11" bestFit="1" customWidth="1"/>
    <col min="10" max="10" width="12.5703125" bestFit="1" customWidth="1"/>
    <col min="12" max="12" width="12.7109375" bestFit="1" customWidth="1"/>
  </cols>
  <sheetData>
    <row r="1" spans="1:12" x14ac:dyDescent="0.25">
      <c r="A1" t="s">
        <v>0</v>
      </c>
      <c r="B1" t="s">
        <v>1</v>
      </c>
      <c r="C1" t="s">
        <v>2</v>
      </c>
      <c r="D1" t="s">
        <v>3</v>
      </c>
      <c r="E1" t="s">
        <v>4</v>
      </c>
      <c r="F1" t="s">
        <v>5</v>
      </c>
      <c r="G1" t="s">
        <v>159</v>
      </c>
      <c r="H1" t="s">
        <v>117</v>
      </c>
      <c r="I1" t="s">
        <v>131</v>
      </c>
      <c r="J1" t="s">
        <v>118</v>
      </c>
    </row>
    <row r="2" spans="1:12" x14ac:dyDescent="0.25">
      <c r="A2" t="s">
        <v>21</v>
      </c>
      <c r="B2" t="s">
        <v>22</v>
      </c>
      <c r="C2" t="s">
        <v>8</v>
      </c>
      <c r="D2">
        <v>110000</v>
      </c>
      <c r="E2">
        <v>125000</v>
      </c>
      <c r="F2" s="1">
        <v>46023</v>
      </c>
      <c r="G2" s="1" t="str">
        <f>TEXT(Table_MIS_RegionalSalesData[[#This Row],[Month]],"MMMM")</f>
        <v>January</v>
      </c>
      <c r="H2" s="3">
        <f>Table_MIS_RegionalSalesData[[#This Row],[Actual Sales(₹)]]/Table_MIS_RegionalSalesData[[#This Row],[Target (₹)]]</f>
        <v>1.1363636363636365</v>
      </c>
      <c r="I2" s="3">
        <f>(Table_MIS_RegionalSalesData[[#This Row],[Actual Sales(₹)]]-Table_MIS_RegionalSalesData[[#This Row],[Target (₹)]])/Table_MIS_RegionalSalesData[[#This Row],[Actual Sales(₹)]]</f>
        <v>0.12</v>
      </c>
      <c r="J2" t="str">
        <f>IF(Table_MIS_RegionalSalesData[[#This Row],[Achivement(%)]]&gt;=100%,"Met Target","Below Target")</f>
        <v>Met Target</v>
      </c>
    </row>
    <row r="3" spans="1:12" x14ac:dyDescent="0.25">
      <c r="A3" t="s">
        <v>52</v>
      </c>
      <c r="B3" t="s">
        <v>10</v>
      </c>
      <c r="C3" t="s">
        <v>13</v>
      </c>
      <c r="D3">
        <v>155000</v>
      </c>
      <c r="E3">
        <v>170000</v>
      </c>
      <c r="F3" s="1">
        <v>46054</v>
      </c>
      <c r="G3" s="1" t="str">
        <f>TEXT(Table_MIS_RegionalSalesData[[#This Row],[Month]],"MMMM")</f>
        <v>February</v>
      </c>
      <c r="H3" s="3">
        <f>Table_MIS_RegionalSalesData[[#This Row],[Actual Sales(₹)]]/Table_MIS_RegionalSalesData[[#This Row],[Target (₹)]]</f>
        <v>1.096774193548387</v>
      </c>
      <c r="I3" s="3">
        <f>(Table_MIS_RegionalSalesData[[#This Row],[Actual Sales(₹)]]-Table_MIS_RegionalSalesData[[#This Row],[Target (₹)]])/Table_MIS_RegionalSalesData[[#This Row],[Actual Sales(₹)]]</f>
        <v>8.8235294117647065E-2</v>
      </c>
      <c r="J3" t="str">
        <f>IF(Table_MIS_RegionalSalesData[[#This Row],[Achivement(%)]]&gt;=100%,"Met Target","Below Target")</f>
        <v>Met Target</v>
      </c>
      <c r="L3" t="str">
        <f>INDEX(Table_MIS_RegionalSalesData[Agent Name],MATCH(MAX(Table_MIS_RegionalSalesData[Achivement(%)]),Table_MIS_RegionalSalesData[Achivement(%)],0))</f>
        <v>Rohit Sharma</v>
      </c>
    </row>
    <row r="4" spans="1:12" x14ac:dyDescent="0.25">
      <c r="A4" t="s">
        <v>28</v>
      </c>
      <c r="B4" t="s">
        <v>17</v>
      </c>
      <c r="C4" t="s">
        <v>13</v>
      </c>
      <c r="D4">
        <v>175000</v>
      </c>
      <c r="E4">
        <v>190000</v>
      </c>
      <c r="F4" s="1">
        <v>46023</v>
      </c>
      <c r="G4" s="1" t="str">
        <f>TEXT(Table_MIS_RegionalSalesData[[#This Row],[Month]],"MMMM")</f>
        <v>January</v>
      </c>
      <c r="H4" s="3">
        <f>Table_MIS_RegionalSalesData[[#This Row],[Actual Sales(₹)]]/Table_MIS_RegionalSalesData[[#This Row],[Target (₹)]]</f>
        <v>1.0857142857142856</v>
      </c>
      <c r="I4" s="3">
        <f>(Table_MIS_RegionalSalesData[[#This Row],[Actual Sales(₹)]]-Table_MIS_RegionalSalesData[[#This Row],[Target (₹)]])/Table_MIS_RegionalSalesData[[#This Row],[Actual Sales(₹)]]</f>
        <v>7.8947368421052627E-2</v>
      </c>
      <c r="J4" t="str">
        <f>IF(Table_MIS_RegionalSalesData[[#This Row],[Achivement(%)]]&gt;=100%,"Met Target","Below Target")</f>
        <v>Met Target</v>
      </c>
    </row>
    <row r="5" spans="1:12" x14ac:dyDescent="0.25">
      <c r="A5" t="s">
        <v>100</v>
      </c>
      <c r="B5" t="s">
        <v>7</v>
      </c>
      <c r="C5" t="s">
        <v>8</v>
      </c>
      <c r="D5">
        <v>120000</v>
      </c>
      <c r="E5">
        <v>130000</v>
      </c>
      <c r="F5" s="1">
        <v>46143</v>
      </c>
      <c r="G5" s="1" t="str">
        <f>TEXT(Table_MIS_RegionalSalesData[[#This Row],[Month]],"MMMM")</f>
        <v>May</v>
      </c>
      <c r="H5" s="3">
        <f>Table_MIS_RegionalSalesData[[#This Row],[Actual Sales(₹)]]/Table_MIS_RegionalSalesData[[#This Row],[Target (₹)]]</f>
        <v>1.0833333333333333</v>
      </c>
      <c r="I5" s="3">
        <f>(Table_MIS_RegionalSalesData[[#This Row],[Actual Sales(₹)]]-Table_MIS_RegionalSalesData[[#This Row],[Target (₹)]])/Table_MIS_RegionalSalesData[[#This Row],[Actual Sales(₹)]]</f>
        <v>7.6923076923076927E-2</v>
      </c>
      <c r="J5" t="str">
        <f>IF(Table_MIS_RegionalSalesData[[#This Row],[Achivement(%)]]&gt;=100%,"Met Target","Below Target")</f>
        <v>Met Target</v>
      </c>
    </row>
    <row r="6" spans="1:12" x14ac:dyDescent="0.25">
      <c r="A6" t="s">
        <v>9</v>
      </c>
      <c r="B6" t="s">
        <v>10</v>
      </c>
      <c r="C6" t="s">
        <v>11</v>
      </c>
      <c r="D6">
        <v>85000</v>
      </c>
      <c r="E6">
        <v>92000</v>
      </c>
      <c r="F6" s="1">
        <v>46023</v>
      </c>
      <c r="G6" s="1" t="str">
        <f>TEXT(Table_MIS_RegionalSalesData[[#This Row],[Month]],"MMMM")</f>
        <v>January</v>
      </c>
      <c r="H6" s="3">
        <f>Table_MIS_RegionalSalesData[[#This Row],[Actual Sales(₹)]]/Table_MIS_RegionalSalesData[[#This Row],[Target (₹)]]</f>
        <v>1.0823529411764705</v>
      </c>
      <c r="I6" s="3">
        <f>(Table_MIS_RegionalSalesData[[#This Row],[Actual Sales(₹)]]-Table_MIS_RegionalSalesData[[#This Row],[Target (₹)]])/Table_MIS_RegionalSalesData[[#This Row],[Actual Sales(₹)]]</f>
        <v>7.6086956521739135E-2</v>
      </c>
      <c r="J6" t="str">
        <f>IF(Table_MIS_RegionalSalesData[[#This Row],[Achivement(%)]]&gt;=100%,"Met Target","Below Target")</f>
        <v>Met Target</v>
      </c>
    </row>
    <row r="7" spans="1:12" x14ac:dyDescent="0.25">
      <c r="A7" t="s">
        <v>106</v>
      </c>
      <c r="B7" t="s">
        <v>7</v>
      </c>
      <c r="C7" t="s">
        <v>8</v>
      </c>
      <c r="D7">
        <v>125000</v>
      </c>
      <c r="E7">
        <v>135000</v>
      </c>
      <c r="F7" s="1">
        <v>46143</v>
      </c>
      <c r="G7" s="1" t="str">
        <f>TEXT(Table_MIS_RegionalSalesData[[#This Row],[Month]],"MMMM")</f>
        <v>May</v>
      </c>
      <c r="H7" s="3">
        <f>Table_MIS_RegionalSalesData[[#This Row],[Actual Sales(₹)]]/Table_MIS_RegionalSalesData[[#This Row],[Target (₹)]]</f>
        <v>1.08</v>
      </c>
      <c r="I7" s="3">
        <f>(Table_MIS_RegionalSalesData[[#This Row],[Actual Sales(₹)]]-Table_MIS_RegionalSalesData[[#This Row],[Target (₹)]])/Table_MIS_RegionalSalesData[[#This Row],[Actual Sales(₹)]]</f>
        <v>7.407407407407407E-2</v>
      </c>
      <c r="J7" t="str">
        <f>IF(Table_MIS_RegionalSalesData[[#This Row],[Achivement(%)]]&gt;=100%,"Met Target","Below Target")</f>
        <v>Met Target</v>
      </c>
    </row>
    <row r="8" spans="1:12" x14ac:dyDescent="0.25">
      <c r="A8" t="s">
        <v>71</v>
      </c>
      <c r="B8" t="s">
        <v>7</v>
      </c>
      <c r="C8" t="s">
        <v>8</v>
      </c>
      <c r="D8">
        <v>130000</v>
      </c>
      <c r="E8">
        <v>140000</v>
      </c>
      <c r="F8" s="1">
        <v>46082</v>
      </c>
      <c r="G8" s="1" t="str">
        <f>TEXT(Table_MIS_RegionalSalesData[[#This Row],[Month]],"MMMM")</f>
        <v>March</v>
      </c>
      <c r="H8" s="3">
        <f>Table_MIS_RegionalSalesData[[#This Row],[Actual Sales(₹)]]/Table_MIS_RegionalSalesData[[#This Row],[Target (₹)]]</f>
        <v>1.0769230769230769</v>
      </c>
      <c r="I8" s="3">
        <f>(Table_MIS_RegionalSalesData[[#This Row],[Actual Sales(₹)]]-Table_MIS_RegionalSalesData[[#This Row],[Target (₹)]])/Table_MIS_RegionalSalesData[[#This Row],[Actual Sales(₹)]]</f>
        <v>7.1428571428571425E-2</v>
      </c>
      <c r="J8" t="str">
        <f>IF(Table_MIS_RegionalSalesData[[#This Row],[Achivement(%)]]&gt;=100%,"Met Target","Below Target")</f>
        <v>Met Target</v>
      </c>
    </row>
    <row r="9" spans="1:12" x14ac:dyDescent="0.25">
      <c r="A9" t="s">
        <v>91</v>
      </c>
      <c r="B9" t="s">
        <v>22</v>
      </c>
      <c r="C9" t="s">
        <v>13</v>
      </c>
      <c r="D9">
        <v>130000</v>
      </c>
      <c r="E9">
        <v>140000</v>
      </c>
      <c r="F9" s="1">
        <v>46113</v>
      </c>
      <c r="G9" s="1" t="str">
        <f>TEXT(Table_MIS_RegionalSalesData[[#This Row],[Month]],"MMMM")</f>
        <v>April</v>
      </c>
      <c r="H9" s="3">
        <f>Table_MIS_RegionalSalesData[[#This Row],[Actual Sales(₹)]]/Table_MIS_RegionalSalesData[[#This Row],[Target (₹)]]</f>
        <v>1.0769230769230769</v>
      </c>
      <c r="I9" s="3">
        <f>(Table_MIS_RegionalSalesData[[#This Row],[Actual Sales(₹)]]-Table_MIS_RegionalSalesData[[#This Row],[Target (₹)]])/Table_MIS_RegionalSalesData[[#This Row],[Actual Sales(₹)]]</f>
        <v>7.1428571428571425E-2</v>
      </c>
      <c r="J9" t="str">
        <f>IF(Table_MIS_RegionalSalesData[[#This Row],[Achivement(%)]]&gt;=100%,"Met Target","Below Target")</f>
        <v>Met Target</v>
      </c>
    </row>
    <row r="10" spans="1:12" x14ac:dyDescent="0.25">
      <c r="A10" t="s">
        <v>30</v>
      </c>
      <c r="B10" t="s">
        <v>7</v>
      </c>
      <c r="C10" t="s">
        <v>8</v>
      </c>
      <c r="D10">
        <v>140000</v>
      </c>
      <c r="E10">
        <v>150000</v>
      </c>
      <c r="F10" s="1">
        <v>46023</v>
      </c>
      <c r="G10" s="1" t="str">
        <f>TEXT(Table_MIS_RegionalSalesData[[#This Row],[Month]],"MMMM")</f>
        <v>January</v>
      </c>
      <c r="H10" s="3">
        <f>Table_MIS_RegionalSalesData[[#This Row],[Actual Sales(₹)]]/Table_MIS_RegionalSalesData[[#This Row],[Target (₹)]]</f>
        <v>1.0714285714285714</v>
      </c>
      <c r="I10" s="3">
        <f>(Table_MIS_RegionalSalesData[[#This Row],[Actual Sales(₹)]]-Table_MIS_RegionalSalesData[[#This Row],[Target (₹)]])/Table_MIS_RegionalSalesData[[#This Row],[Actual Sales(₹)]]</f>
        <v>6.6666666666666666E-2</v>
      </c>
      <c r="J10" t="str">
        <f>IF(Table_MIS_RegionalSalesData[[#This Row],[Achivement(%)]]&gt;=100%,"Met Target","Below Target")</f>
        <v>Met Target</v>
      </c>
    </row>
    <row r="11" spans="1:12" x14ac:dyDescent="0.25">
      <c r="A11" t="s">
        <v>73</v>
      </c>
      <c r="B11" t="s">
        <v>10</v>
      </c>
      <c r="C11" t="s">
        <v>13</v>
      </c>
      <c r="D11">
        <v>150000</v>
      </c>
      <c r="E11">
        <v>160000</v>
      </c>
      <c r="F11" s="1">
        <v>46082</v>
      </c>
      <c r="G11" s="1" t="str">
        <f>TEXT(Table_MIS_RegionalSalesData[[#This Row],[Month]],"MMMM")</f>
        <v>March</v>
      </c>
      <c r="H11" s="3">
        <f>Table_MIS_RegionalSalesData[[#This Row],[Actual Sales(₹)]]/Table_MIS_RegionalSalesData[[#This Row],[Target (₹)]]</f>
        <v>1.0666666666666667</v>
      </c>
      <c r="I11" s="3">
        <f>(Table_MIS_RegionalSalesData[[#This Row],[Actual Sales(₹)]]-Table_MIS_RegionalSalesData[[#This Row],[Target (₹)]])/Table_MIS_RegionalSalesData[[#This Row],[Actual Sales(₹)]]</f>
        <v>6.25E-2</v>
      </c>
      <c r="J11" t="str">
        <f>IF(Table_MIS_RegionalSalesData[[#This Row],[Achivement(%)]]&gt;=100%,"Met Target","Below Target")</f>
        <v>Met Target</v>
      </c>
    </row>
    <row r="12" spans="1:12" x14ac:dyDescent="0.25">
      <c r="A12" t="s">
        <v>88</v>
      </c>
      <c r="B12" t="s">
        <v>15</v>
      </c>
      <c r="C12" t="s">
        <v>13</v>
      </c>
      <c r="D12">
        <v>150000</v>
      </c>
      <c r="E12">
        <v>160000</v>
      </c>
      <c r="F12" s="1">
        <v>46113</v>
      </c>
      <c r="G12" s="1" t="str">
        <f>TEXT(Table_MIS_RegionalSalesData[[#This Row],[Month]],"MMMM")</f>
        <v>April</v>
      </c>
      <c r="H12" s="3">
        <f>Table_MIS_RegionalSalesData[[#This Row],[Actual Sales(₹)]]/Table_MIS_RegionalSalesData[[#This Row],[Target (₹)]]</f>
        <v>1.0666666666666667</v>
      </c>
      <c r="I12" s="3">
        <f>(Table_MIS_RegionalSalesData[[#This Row],[Actual Sales(₹)]]-Table_MIS_RegionalSalesData[[#This Row],[Target (₹)]])/Table_MIS_RegionalSalesData[[#This Row],[Actual Sales(₹)]]</f>
        <v>6.25E-2</v>
      </c>
      <c r="J12" t="str">
        <f>IF(Table_MIS_RegionalSalesData[[#This Row],[Achivement(%)]]&gt;=100%,"Met Target","Below Target")</f>
        <v>Met Target</v>
      </c>
    </row>
    <row r="13" spans="1:12" x14ac:dyDescent="0.25">
      <c r="A13" t="s">
        <v>108</v>
      </c>
      <c r="B13" t="s">
        <v>15</v>
      </c>
      <c r="C13" t="s">
        <v>13</v>
      </c>
      <c r="D13">
        <v>150000</v>
      </c>
      <c r="E13">
        <v>160000</v>
      </c>
      <c r="F13" s="1">
        <v>46143</v>
      </c>
      <c r="G13" s="1" t="str">
        <f>TEXT(Table_MIS_RegionalSalesData[[#This Row],[Month]],"MMMM")</f>
        <v>May</v>
      </c>
      <c r="H13" s="3">
        <f>Table_MIS_RegionalSalesData[[#This Row],[Actual Sales(₹)]]/Table_MIS_RegionalSalesData[[#This Row],[Target (₹)]]</f>
        <v>1.0666666666666667</v>
      </c>
      <c r="I13" s="3">
        <f>(Table_MIS_RegionalSalesData[[#This Row],[Actual Sales(₹)]]-Table_MIS_RegionalSalesData[[#This Row],[Target (₹)]])/Table_MIS_RegionalSalesData[[#This Row],[Actual Sales(₹)]]</f>
        <v>6.25E-2</v>
      </c>
      <c r="J13" t="str">
        <f>IF(Table_MIS_RegionalSalesData[[#This Row],[Achivement(%)]]&gt;=100%,"Met Target","Below Target")</f>
        <v>Met Target</v>
      </c>
    </row>
    <row r="14" spans="1:12" x14ac:dyDescent="0.25">
      <c r="A14" t="s">
        <v>34</v>
      </c>
      <c r="B14" t="s">
        <v>15</v>
      </c>
      <c r="C14" t="s">
        <v>13</v>
      </c>
      <c r="D14">
        <v>155000</v>
      </c>
      <c r="E14">
        <v>165000</v>
      </c>
      <c r="F14" s="1">
        <v>46023</v>
      </c>
      <c r="G14" s="1" t="str">
        <f>TEXT(Table_MIS_RegionalSalesData[[#This Row],[Month]],"MMMM")</f>
        <v>January</v>
      </c>
      <c r="H14" s="3">
        <f>Table_MIS_RegionalSalesData[[#This Row],[Actual Sales(₹)]]/Table_MIS_RegionalSalesData[[#This Row],[Target (₹)]]</f>
        <v>1.064516129032258</v>
      </c>
      <c r="I14" s="3">
        <f>(Table_MIS_RegionalSalesData[[#This Row],[Actual Sales(₹)]]-Table_MIS_RegionalSalesData[[#This Row],[Target (₹)]])/Table_MIS_RegionalSalesData[[#This Row],[Actual Sales(₹)]]</f>
        <v>6.0606060606060608E-2</v>
      </c>
      <c r="J14" t="str">
        <f>IF(Table_MIS_RegionalSalesData[[#This Row],[Achivement(%)]]&gt;=100%,"Met Target","Below Target")</f>
        <v>Met Target</v>
      </c>
    </row>
    <row r="15" spans="1:12" x14ac:dyDescent="0.25">
      <c r="A15" t="s">
        <v>82</v>
      </c>
      <c r="B15" t="s">
        <v>15</v>
      </c>
      <c r="C15" t="s">
        <v>13</v>
      </c>
      <c r="D15">
        <v>155000</v>
      </c>
      <c r="E15">
        <v>165000</v>
      </c>
      <c r="F15" s="1">
        <v>46113</v>
      </c>
      <c r="G15" s="1" t="str">
        <f>TEXT(Table_MIS_RegionalSalesData[[#This Row],[Month]],"MMMM")</f>
        <v>April</v>
      </c>
      <c r="H15" s="3">
        <f>Table_MIS_RegionalSalesData[[#This Row],[Actual Sales(₹)]]/Table_MIS_RegionalSalesData[[#This Row],[Target (₹)]]</f>
        <v>1.064516129032258</v>
      </c>
      <c r="I15" s="3">
        <f>(Table_MIS_RegionalSalesData[[#This Row],[Actual Sales(₹)]]-Table_MIS_RegionalSalesData[[#This Row],[Target (₹)]])/Table_MIS_RegionalSalesData[[#This Row],[Actual Sales(₹)]]</f>
        <v>6.0606060606060608E-2</v>
      </c>
      <c r="J15" t="str">
        <f>IF(Table_MIS_RegionalSalesData[[#This Row],[Achivement(%)]]&gt;=100%,"Met Target","Below Target")</f>
        <v>Met Target</v>
      </c>
    </row>
    <row r="16" spans="1:12" x14ac:dyDescent="0.25">
      <c r="A16" t="s">
        <v>55</v>
      </c>
      <c r="B16" t="s">
        <v>7</v>
      </c>
      <c r="C16" t="s">
        <v>13</v>
      </c>
      <c r="D16">
        <v>170000</v>
      </c>
      <c r="E16">
        <v>180000</v>
      </c>
      <c r="F16" s="1">
        <v>46054</v>
      </c>
      <c r="G16" s="1" t="str">
        <f>TEXT(Table_MIS_RegionalSalesData[[#This Row],[Month]],"MMMM")</f>
        <v>February</v>
      </c>
      <c r="H16" s="3">
        <f>Table_MIS_RegionalSalesData[[#This Row],[Actual Sales(₹)]]/Table_MIS_RegionalSalesData[[#This Row],[Target (₹)]]</f>
        <v>1.0588235294117647</v>
      </c>
      <c r="I16" s="3">
        <f>(Table_MIS_RegionalSalesData[[#This Row],[Actual Sales(₹)]]-Table_MIS_RegionalSalesData[[#This Row],[Target (₹)]])/Table_MIS_RegionalSalesData[[#This Row],[Actual Sales(₹)]]</f>
        <v>5.5555555555555552E-2</v>
      </c>
      <c r="J16" t="str">
        <f>IF(Table_MIS_RegionalSalesData[[#This Row],[Achivement(%)]]&gt;=100%,"Met Target","Below Target")</f>
        <v>Met Target</v>
      </c>
    </row>
    <row r="17" spans="1:10" x14ac:dyDescent="0.25">
      <c r="A17" t="s">
        <v>59</v>
      </c>
      <c r="B17" t="s">
        <v>7</v>
      </c>
      <c r="C17" t="s">
        <v>8</v>
      </c>
      <c r="D17">
        <v>140000</v>
      </c>
      <c r="E17">
        <v>148000</v>
      </c>
      <c r="F17" s="1">
        <v>46082</v>
      </c>
      <c r="G17" s="1" t="str">
        <f>TEXT(Table_MIS_RegionalSalesData[[#This Row],[Month]],"MMMM")</f>
        <v>March</v>
      </c>
      <c r="H17" s="3">
        <f>Table_MIS_RegionalSalesData[[#This Row],[Actual Sales(₹)]]/Table_MIS_RegionalSalesData[[#This Row],[Target (₹)]]</f>
        <v>1.0571428571428572</v>
      </c>
      <c r="I17" s="3">
        <f>(Table_MIS_RegionalSalesData[[#This Row],[Actual Sales(₹)]]-Table_MIS_RegionalSalesData[[#This Row],[Target (₹)]])/Table_MIS_RegionalSalesData[[#This Row],[Actual Sales(₹)]]</f>
        <v>5.4054054054054057E-2</v>
      </c>
      <c r="J17" t="str">
        <f>IF(Table_MIS_RegionalSalesData[[#This Row],[Achivement(%)]]&gt;=100%,"Met Target","Below Target")</f>
        <v>Met Target</v>
      </c>
    </row>
    <row r="18" spans="1:10" x14ac:dyDescent="0.25">
      <c r="A18" t="s">
        <v>75</v>
      </c>
      <c r="B18" t="s">
        <v>15</v>
      </c>
      <c r="C18" t="s">
        <v>11</v>
      </c>
      <c r="D18">
        <v>90000</v>
      </c>
      <c r="E18">
        <v>95000</v>
      </c>
      <c r="F18" s="1">
        <v>46082</v>
      </c>
      <c r="G18" s="1" t="str">
        <f>TEXT(Table_MIS_RegionalSalesData[[#This Row],[Month]],"MMMM")</f>
        <v>March</v>
      </c>
      <c r="H18" s="3">
        <f>Table_MIS_RegionalSalesData[[#This Row],[Actual Sales(₹)]]/Table_MIS_RegionalSalesData[[#This Row],[Target (₹)]]</f>
        <v>1.0555555555555556</v>
      </c>
      <c r="I18" s="3">
        <f>(Table_MIS_RegionalSalesData[[#This Row],[Actual Sales(₹)]]-Table_MIS_RegionalSalesData[[#This Row],[Target (₹)]])/Table_MIS_RegionalSalesData[[#This Row],[Actual Sales(₹)]]</f>
        <v>5.2631578947368418E-2</v>
      </c>
      <c r="J18" t="str">
        <f>IF(Table_MIS_RegionalSalesData[[#This Row],[Achivement(%)]]&gt;=100%,"Met Target","Below Target")</f>
        <v>Met Target</v>
      </c>
    </row>
    <row r="19" spans="1:10" x14ac:dyDescent="0.25">
      <c r="A19" t="s">
        <v>95</v>
      </c>
      <c r="B19" t="s">
        <v>7</v>
      </c>
      <c r="C19" t="s">
        <v>8</v>
      </c>
      <c r="D19">
        <v>180000</v>
      </c>
      <c r="E19">
        <v>190000</v>
      </c>
      <c r="F19" s="1">
        <v>46113</v>
      </c>
      <c r="G19" s="1" t="str">
        <f>TEXT(Table_MIS_RegionalSalesData[[#This Row],[Month]],"MMMM")</f>
        <v>April</v>
      </c>
      <c r="H19" s="3">
        <f>Table_MIS_RegionalSalesData[[#This Row],[Actual Sales(₹)]]/Table_MIS_RegionalSalesData[[#This Row],[Target (₹)]]</f>
        <v>1.0555555555555556</v>
      </c>
      <c r="I19" s="3">
        <f>(Table_MIS_RegionalSalesData[[#This Row],[Actual Sales(₹)]]-Table_MIS_RegionalSalesData[[#This Row],[Target (₹)]])/Table_MIS_RegionalSalesData[[#This Row],[Actual Sales(₹)]]</f>
        <v>5.2631578947368418E-2</v>
      </c>
      <c r="J19" t="str">
        <f>IF(Table_MIS_RegionalSalesData[[#This Row],[Achivement(%)]]&gt;=100%,"Met Target","Below Target")</f>
        <v>Met Target</v>
      </c>
    </row>
    <row r="20" spans="1:10" x14ac:dyDescent="0.25">
      <c r="A20" t="s">
        <v>16</v>
      </c>
      <c r="B20" t="s">
        <v>17</v>
      </c>
      <c r="C20" t="s">
        <v>8</v>
      </c>
      <c r="D20">
        <v>200000</v>
      </c>
      <c r="E20">
        <v>210000</v>
      </c>
      <c r="F20" s="1">
        <v>46023</v>
      </c>
      <c r="G20" s="1" t="str">
        <f>TEXT(Table_MIS_RegionalSalesData[[#This Row],[Month]],"MMMM")</f>
        <v>January</v>
      </c>
      <c r="H20" s="3">
        <f>Table_MIS_RegionalSalesData[[#This Row],[Actual Sales(₹)]]/Table_MIS_RegionalSalesData[[#This Row],[Target (₹)]]</f>
        <v>1.05</v>
      </c>
      <c r="I20" s="3">
        <f>(Table_MIS_RegionalSalesData[[#This Row],[Actual Sales(₹)]]-Table_MIS_RegionalSalesData[[#This Row],[Target (₹)]])/Table_MIS_RegionalSalesData[[#This Row],[Actual Sales(₹)]]</f>
        <v>4.7619047619047616E-2</v>
      </c>
      <c r="J20" t="str">
        <f>IF(Table_MIS_RegionalSalesData[[#This Row],[Achivement(%)]]&gt;=100%,"Met Target","Below Target")</f>
        <v>Met Target</v>
      </c>
    </row>
    <row r="21" spans="1:10" x14ac:dyDescent="0.25">
      <c r="A21" t="s">
        <v>32</v>
      </c>
      <c r="B21" t="s">
        <v>7</v>
      </c>
      <c r="C21" t="s">
        <v>11</v>
      </c>
      <c r="D21">
        <v>100000</v>
      </c>
      <c r="E21">
        <v>105000</v>
      </c>
      <c r="F21" s="1">
        <v>46023</v>
      </c>
      <c r="G21" s="1" t="str">
        <f>TEXT(Table_MIS_RegionalSalesData[[#This Row],[Month]],"MMMM")</f>
        <v>January</v>
      </c>
      <c r="H21" s="3">
        <f>Table_MIS_RegionalSalesData[[#This Row],[Actual Sales(₹)]]/Table_MIS_RegionalSalesData[[#This Row],[Target (₹)]]</f>
        <v>1.05</v>
      </c>
      <c r="I21" s="3">
        <f>(Table_MIS_RegionalSalesData[[#This Row],[Actual Sales(₹)]]-Table_MIS_RegionalSalesData[[#This Row],[Target (₹)]])/Table_MIS_RegionalSalesData[[#This Row],[Actual Sales(₹)]]</f>
        <v>4.7619047619047616E-2</v>
      </c>
      <c r="J21" t="str">
        <f>IF(Table_MIS_RegionalSalesData[[#This Row],[Achivement(%)]]&gt;=100%,"Met Target","Below Target")</f>
        <v>Met Target</v>
      </c>
    </row>
    <row r="22" spans="1:10" x14ac:dyDescent="0.25">
      <c r="A22" t="s">
        <v>107</v>
      </c>
      <c r="B22" t="s">
        <v>24</v>
      </c>
      <c r="C22" t="s">
        <v>11</v>
      </c>
      <c r="D22">
        <v>88000</v>
      </c>
      <c r="E22">
        <v>92000</v>
      </c>
      <c r="F22" s="1">
        <v>46143</v>
      </c>
      <c r="G22" s="1" t="str">
        <f>TEXT(Table_MIS_RegionalSalesData[[#This Row],[Month]],"MMMM")</f>
        <v>May</v>
      </c>
      <c r="H22" s="3">
        <f>Table_MIS_RegionalSalesData[[#This Row],[Actual Sales(₹)]]/Table_MIS_RegionalSalesData[[#This Row],[Target (₹)]]</f>
        <v>1.0454545454545454</v>
      </c>
      <c r="I22" s="3">
        <f>(Table_MIS_RegionalSalesData[[#This Row],[Actual Sales(₹)]]-Table_MIS_RegionalSalesData[[#This Row],[Target (₹)]])/Table_MIS_RegionalSalesData[[#This Row],[Actual Sales(₹)]]</f>
        <v>4.3478260869565216E-2</v>
      </c>
      <c r="J22" t="str">
        <f>IF(Table_MIS_RegionalSalesData[[#This Row],[Achivement(%)]]&gt;=100%,"Met Target","Below Target")</f>
        <v>Met Target</v>
      </c>
    </row>
    <row r="23" spans="1:10" x14ac:dyDescent="0.25">
      <c r="A23" t="s">
        <v>115</v>
      </c>
      <c r="B23" t="s">
        <v>7</v>
      </c>
      <c r="C23" t="s">
        <v>8</v>
      </c>
      <c r="D23">
        <v>110000</v>
      </c>
      <c r="E23">
        <v>115000</v>
      </c>
      <c r="F23" s="1">
        <v>46143</v>
      </c>
      <c r="G23" s="1" t="str">
        <f>TEXT(Table_MIS_RegionalSalesData[[#This Row],[Month]],"MMMM")</f>
        <v>May</v>
      </c>
      <c r="H23" s="3">
        <f>Table_MIS_RegionalSalesData[[#This Row],[Actual Sales(₹)]]/Table_MIS_RegionalSalesData[[#This Row],[Target (₹)]]</f>
        <v>1.0454545454545454</v>
      </c>
      <c r="I23" s="3">
        <f>(Table_MIS_RegionalSalesData[[#This Row],[Actual Sales(₹)]]-Table_MIS_RegionalSalesData[[#This Row],[Target (₹)]])/Table_MIS_RegionalSalesData[[#This Row],[Actual Sales(₹)]]</f>
        <v>4.3478260869565216E-2</v>
      </c>
      <c r="J23" t="str">
        <f>IF(Table_MIS_RegionalSalesData[[#This Row],[Achivement(%)]]&gt;=100%,"Met Target","Below Target")</f>
        <v>Met Target</v>
      </c>
    </row>
    <row r="24" spans="1:10" x14ac:dyDescent="0.25">
      <c r="A24" t="s">
        <v>50</v>
      </c>
      <c r="B24" t="s">
        <v>7</v>
      </c>
      <c r="C24" t="s">
        <v>8</v>
      </c>
      <c r="D24">
        <v>115000</v>
      </c>
      <c r="E24">
        <v>120000</v>
      </c>
      <c r="F24" s="1">
        <v>46054</v>
      </c>
      <c r="G24" s="1" t="str">
        <f>TEXT(Table_MIS_RegionalSalesData[[#This Row],[Month]],"MMMM")</f>
        <v>February</v>
      </c>
      <c r="H24" s="3">
        <f>Table_MIS_RegionalSalesData[[#This Row],[Actual Sales(₹)]]/Table_MIS_RegionalSalesData[[#This Row],[Target (₹)]]</f>
        <v>1.0434782608695652</v>
      </c>
      <c r="I24" s="3">
        <f>(Table_MIS_RegionalSalesData[[#This Row],[Actual Sales(₹)]]-Table_MIS_RegionalSalesData[[#This Row],[Target (₹)]])/Table_MIS_RegionalSalesData[[#This Row],[Actual Sales(₹)]]</f>
        <v>4.1666666666666664E-2</v>
      </c>
      <c r="J24" t="str">
        <f>IF(Table_MIS_RegionalSalesData[[#This Row],[Achivement(%)]]&gt;=100%,"Met Target","Below Target")</f>
        <v>Met Target</v>
      </c>
    </row>
    <row r="25" spans="1:10" x14ac:dyDescent="0.25">
      <c r="A25" t="s">
        <v>89</v>
      </c>
      <c r="B25" t="s">
        <v>7</v>
      </c>
      <c r="C25" t="s">
        <v>8</v>
      </c>
      <c r="D25">
        <v>115000</v>
      </c>
      <c r="E25">
        <v>120000</v>
      </c>
      <c r="F25" s="1">
        <v>46113</v>
      </c>
      <c r="G25" s="1" t="str">
        <f>TEXT(Table_MIS_RegionalSalesData[[#This Row],[Month]],"MMMM")</f>
        <v>April</v>
      </c>
      <c r="H25" s="3">
        <f>Table_MIS_RegionalSalesData[[#This Row],[Actual Sales(₹)]]/Table_MIS_RegionalSalesData[[#This Row],[Target (₹)]]</f>
        <v>1.0434782608695652</v>
      </c>
      <c r="I25" s="3">
        <f>(Table_MIS_RegionalSalesData[[#This Row],[Actual Sales(₹)]]-Table_MIS_RegionalSalesData[[#This Row],[Target (₹)]])/Table_MIS_RegionalSalesData[[#This Row],[Actual Sales(₹)]]</f>
        <v>4.1666666666666664E-2</v>
      </c>
      <c r="J25" t="str">
        <f>IF(Table_MIS_RegionalSalesData[[#This Row],[Achivement(%)]]&gt;=100%,"Met Target","Below Target")</f>
        <v>Met Target</v>
      </c>
    </row>
    <row r="26" spans="1:10" x14ac:dyDescent="0.25">
      <c r="A26" t="s">
        <v>80</v>
      </c>
      <c r="B26" t="s">
        <v>7</v>
      </c>
      <c r="C26" t="s">
        <v>8</v>
      </c>
      <c r="D26">
        <v>120000</v>
      </c>
      <c r="E26">
        <v>125000</v>
      </c>
      <c r="F26" s="1">
        <v>46113</v>
      </c>
      <c r="G26" s="1" t="str">
        <f>TEXT(Table_MIS_RegionalSalesData[[#This Row],[Month]],"MMMM")</f>
        <v>April</v>
      </c>
      <c r="H26" s="3">
        <f>Table_MIS_RegionalSalesData[[#This Row],[Actual Sales(₹)]]/Table_MIS_RegionalSalesData[[#This Row],[Target (₹)]]</f>
        <v>1.0416666666666667</v>
      </c>
      <c r="I26" s="3">
        <f>(Table_MIS_RegionalSalesData[[#This Row],[Actual Sales(₹)]]-Table_MIS_RegionalSalesData[[#This Row],[Target (₹)]])/Table_MIS_RegionalSalesData[[#This Row],[Actual Sales(₹)]]</f>
        <v>0.04</v>
      </c>
      <c r="J26" t="str">
        <f>IF(Table_MIS_RegionalSalesData[[#This Row],[Achivement(%)]]&gt;=100%,"Met Target","Below Target")</f>
        <v>Met Target</v>
      </c>
    </row>
    <row r="27" spans="1:10" x14ac:dyDescent="0.25">
      <c r="A27" t="s">
        <v>44</v>
      </c>
      <c r="B27" t="s">
        <v>7</v>
      </c>
      <c r="C27" t="s">
        <v>8</v>
      </c>
      <c r="D27">
        <v>125000</v>
      </c>
      <c r="E27">
        <v>130000</v>
      </c>
      <c r="F27" s="1">
        <v>46054</v>
      </c>
      <c r="G27" s="1" t="str">
        <f>TEXT(Table_MIS_RegionalSalesData[[#This Row],[Month]],"MMMM")</f>
        <v>February</v>
      </c>
      <c r="H27" s="3">
        <f>Table_MIS_RegionalSalesData[[#This Row],[Actual Sales(₹)]]/Table_MIS_RegionalSalesData[[#This Row],[Target (₹)]]</f>
        <v>1.04</v>
      </c>
      <c r="I27" s="3">
        <f>(Table_MIS_RegionalSalesData[[#This Row],[Actual Sales(₹)]]-Table_MIS_RegionalSalesData[[#This Row],[Target (₹)]])/Table_MIS_RegionalSalesData[[#This Row],[Actual Sales(₹)]]</f>
        <v>3.8461538461538464E-2</v>
      </c>
      <c r="J27" t="str">
        <f>IF(Table_MIS_RegionalSalesData[[#This Row],[Achivement(%)]]&gt;=100%,"Met Target","Below Target")</f>
        <v>Met Target</v>
      </c>
    </row>
    <row r="28" spans="1:10" x14ac:dyDescent="0.25">
      <c r="A28" t="s">
        <v>65</v>
      </c>
      <c r="B28" t="s">
        <v>7</v>
      </c>
      <c r="C28" t="s">
        <v>8</v>
      </c>
      <c r="D28">
        <v>125000</v>
      </c>
      <c r="E28">
        <v>130000</v>
      </c>
      <c r="F28" s="1">
        <v>46082</v>
      </c>
      <c r="G28" s="1" t="str">
        <f>TEXT(Table_MIS_RegionalSalesData[[#This Row],[Month]],"MMMM")</f>
        <v>March</v>
      </c>
      <c r="H28" s="3">
        <f>Table_MIS_RegionalSalesData[[#This Row],[Actual Sales(₹)]]/Table_MIS_RegionalSalesData[[#This Row],[Target (₹)]]</f>
        <v>1.04</v>
      </c>
      <c r="I28" s="3">
        <f>(Table_MIS_RegionalSalesData[[#This Row],[Actual Sales(₹)]]-Table_MIS_RegionalSalesData[[#This Row],[Target (₹)]])/Table_MIS_RegionalSalesData[[#This Row],[Actual Sales(₹)]]</f>
        <v>3.8461538461538464E-2</v>
      </c>
      <c r="J28" t="str">
        <f>IF(Table_MIS_RegionalSalesData[[#This Row],[Achivement(%)]]&gt;=100%,"Met Target","Below Target")</f>
        <v>Met Target</v>
      </c>
    </row>
    <row r="29" spans="1:10" x14ac:dyDescent="0.25">
      <c r="A29" t="s">
        <v>46</v>
      </c>
      <c r="B29" t="s">
        <v>26</v>
      </c>
      <c r="C29" t="s">
        <v>13</v>
      </c>
      <c r="D29">
        <v>135000</v>
      </c>
      <c r="E29">
        <v>140000</v>
      </c>
      <c r="F29" s="1">
        <v>46054</v>
      </c>
      <c r="G29" s="1" t="str">
        <f>TEXT(Table_MIS_RegionalSalesData[[#This Row],[Month]],"MMMM")</f>
        <v>February</v>
      </c>
      <c r="H29" s="3">
        <f>Table_MIS_RegionalSalesData[[#This Row],[Actual Sales(₹)]]/Table_MIS_RegionalSalesData[[#This Row],[Target (₹)]]</f>
        <v>1.037037037037037</v>
      </c>
      <c r="I29" s="3">
        <f>(Table_MIS_RegionalSalesData[[#This Row],[Actual Sales(₹)]]-Table_MIS_RegionalSalesData[[#This Row],[Target (₹)]])/Table_MIS_RegionalSalesData[[#This Row],[Actual Sales(₹)]]</f>
        <v>3.5714285714285712E-2</v>
      </c>
      <c r="J29" t="str">
        <f>IF(Table_MIS_RegionalSalesData[[#This Row],[Achivement(%)]]&gt;=100%,"Met Target","Below Target")</f>
        <v>Met Target</v>
      </c>
    </row>
    <row r="30" spans="1:10" x14ac:dyDescent="0.25">
      <c r="A30" t="s">
        <v>111</v>
      </c>
      <c r="B30" t="s">
        <v>22</v>
      </c>
      <c r="C30" t="s">
        <v>13</v>
      </c>
      <c r="D30">
        <v>135000</v>
      </c>
      <c r="E30">
        <v>140000</v>
      </c>
      <c r="F30" s="1">
        <v>46143</v>
      </c>
      <c r="G30" s="1" t="str">
        <f>TEXT(Table_MIS_RegionalSalesData[[#This Row],[Month]],"MMMM")</f>
        <v>May</v>
      </c>
      <c r="H30" s="3">
        <f>Table_MIS_RegionalSalesData[[#This Row],[Actual Sales(₹)]]/Table_MIS_RegionalSalesData[[#This Row],[Target (₹)]]</f>
        <v>1.037037037037037</v>
      </c>
      <c r="I30" s="3">
        <f>(Table_MIS_RegionalSalesData[[#This Row],[Actual Sales(₹)]]-Table_MIS_RegionalSalesData[[#This Row],[Target (₹)]])/Table_MIS_RegionalSalesData[[#This Row],[Actual Sales(₹)]]</f>
        <v>3.5714285714285712E-2</v>
      </c>
      <c r="J30" t="str">
        <f>IF(Table_MIS_RegionalSalesData[[#This Row],[Achivement(%)]]&gt;=100%,"Met Target","Below Target")</f>
        <v>Met Target</v>
      </c>
    </row>
    <row r="31" spans="1:10" x14ac:dyDescent="0.25">
      <c r="A31" t="s">
        <v>41</v>
      </c>
      <c r="B31" t="s">
        <v>42</v>
      </c>
      <c r="C31" t="s">
        <v>11</v>
      </c>
      <c r="D31">
        <v>82000</v>
      </c>
      <c r="E31">
        <v>85000</v>
      </c>
      <c r="F31" s="1">
        <v>46054</v>
      </c>
      <c r="G31" s="1" t="str">
        <f>TEXT(Table_MIS_RegionalSalesData[[#This Row],[Month]],"MMMM")</f>
        <v>February</v>
      </c>
      <c r="H31" s="3">
        <f>Table_MIS_RegionalSalesData[[#This Row],[Actual Sales(₹)]]/Table_MIS_RegionalSalesData[[#This Row],[Target (₹)]]</f>
        <v>1.0365853658536586</v>
      </c>
      <c r="I31" s="3">
        <f>(Table_MIS_RegionalSalesData[[#This Row],[Actual Sales(₹)]]-Table_MIS_RegionalSalesData[[#This Row],[Target (₹)]])/Table_MIS_RegionalSalesData[[#This Row],[Actual Sales(₹)]]</f>
        <v>3.5294117647058823E-2</v>
      </c>
      <c r="J31" t="str">
        <f>IF(Table_MIS_RegionalSalesData[[#This Row],[Achivement(%)]]&gt;=100%,"Met Target","Below Target")</f>
        <v>Met Target</v>
      </c>
    </row>
    <row r="32" spans="1:10" x14ac:dyDescent="0.25">
      <c r="A32" t="s">
        <v>66</v>
      </c>
      <c r="B32" t="s">
        <v>24</v>
      </c>
      <c r="C32" t="s">
        <v>11</v>
      </c>
      <c r="D32">
        <v>82000</v>
      </c>
      <c r="E32">
        <v>85000</v>
      </c>
      <c r="F32" s="1">
        <v>46082</v>
      </c>
      <c r="G32" s="1" t="str">
        <f>TEXT(Table_MIS_RegionalSalesData[[#This Row],[Month]],"MMMM")</f>
        <v>March</v>
      </c>
      <c r="H32" s="3">
        <f>Table_MIS_RegionalSalesData[[#This Row],[Actual Sales(₹)]]/Table_MIS_RegionalSalesData[[#This Row],[Target (₹)]]</f>
        <v>1.0365853658536586</v>
      </c>
      <c r="I32" s="3">
        <f>(Table_MIS_RegionalSalesData[[#This Row],[Actual Sales(₹)]]-Table_MIS_RegionalSalesData[[#This Row],[Target (₹)]])/Table_MIS_RegionalSalesData[[#This Row],[Actual Sales(₹)]]</f>
        <v>3.5294117647058823E-2</v>
      </c>
      <c r="J32" t="str">
        <f>IF(Table_MIS_RegionalSalesData[[#This Row],[Achivement(%)]]&gt;=100%,"Met Target","Below Target")</f>
        <v>Met Target</v>
      </c>
    </row>
    <row r="33" spans="1:10" x14ac:dyDescent="0.25">
      <c r="A33" t="s">
        <v>98</v>
      </c>
      <c r="B33" t="s">
        <v>7</v>
      </c>
      <c r="C33" t="s">
        <v>11</v>
      </c>
      <c r="D33">
        <v>85000</v>
      </c>
      <c r="E33">
        <v>88000</v>
      </c>
      <c r="F33" s="1">
        <v>46143</v>
      </c>
      <c r="G33" s="1" t="str">
        <f>TEXT(Table_MIS_RegionalSalesData[[#This Row],[Month]],"MMMM")</f>
        <v>May</v>
      </c>
      <c r="H33" s="3">
        <f>Table_MIS_RegionalSalesData[[#This Row],[Actual Sales(₹)]]/Table_MIS_RegionalSalesData[[#This Row],[Target (₹)]]</f>
        <v>1.0352941176470589</v>
      </c>
      <c r="I33" s="3">
        <f>(Table_MIS_RegionalSalesData[[#This Row],[Actual Sales(₹)]]-Table_MIS_RegionalSalesData[[#This Row],[Target (₹)]])/Table_MIS_RegionalSalesData[[#This Row],[Actual Sales(₹)]]</f>
        <v>3.4090909090909088E-2</v>
      </c>
      <c r="J33" t="str">
        <f>IF(Table_MIS_RegionalSalesData[[#This Row],[Achivement(%)]]&gt;=100%,"Met Target","Below Target")</f>
        <v>Met Target</v>
      </c>
    </row>
    <row r="34" spans="1:10" x14ac:dyDescent="0.25">
      <c r="A34" t="s">
        <v>116</v>
      </c>
      <c r="B34" t="s">
        <v>15</v>
      </c>
      <c r="C34" t="s">
        <v>11</v>
      </c>
      <c r="D34">
        <v>85000</v>
      </c>
      <c r="E34">
        <v>88000</v>
      </c>
      <c r="F34" s="1">
        <v>46143</v>
      </c>
      <c r="G34" s="1" t="str">
        <f>TEXT(Table_MIS_RegionalSalesData[[#This Row],[Month]],"MMMM")</f>
        <v>May</v>
      </c>
      <c r="H34" s="3">
        <f>Table_MIS_RegionalSalesData[[#This Row],[Actual Sales(₹)]]/Table_MIS_RegionalSalesData[[#This Row],[Target (₹)]]</f>
        <v>1.0352941176470589</v>
      </c>
      <c r="I34" s="3">
        <f>(Table_MIS_RegionalSalesData[[#This Row],[Actual Sales(₹)]]-Table_MIS_RegionalSalesData[[#This Row],[Target (₹)]])/Table_MIS_RegionalSalesData[[#This Row],[Actual Sales(₹)]]</f>
        <v>3.4090909090909088E-2</v>
      </c>
      <c r="J34" t="str">
        <f>IF(Table_MIS_RegionalSalesData[[#This Row],[Achivement(%)]]&gt;=100%,"Met Target","Below Target")</f>
        <v>Met Target</v>
      </c>
    </row>
    <row r="35" spans="1:10" x14ac:dyDescent="0.25">
      <c r="A35" t="s">
        <v>38</v>
      </c>
      <c r="B35" t="s">
        <v>39</v>
      </c>
      <c r="C35" t="s">
        <v>13</v>
      </c>
      <c r="D35">
        <v>145000</v>
      </c>
      <c r="E35">
        <v>150000</v>
      </c>
      <c r="F35" s="1">
        <v>46054</v>
      </c>
      <c r="G35" s="1" t="str">
        <f>TEXT(Table_MIS_RegionalSalesData[[#This Row],[Month]],"MMMM")</f>
        <v>February</v>
      </c>
      <c r="H35" s="3">
        <f>Table_MIS_RegionalSalesData[[#This Row],[Actual Sales(₹)]]/Table_MIS_RegionalSalesData[[#This Row],[Target (₹)]]</f>
        <v>1.0344827586206897</v>
      </c>
      <c r="I35" s="3">
        <f>(Table_MIS_RegionalSalesData[[#This Row],[Actual Sales(₹)]]-Table_MIS_RegionalSalesData[[#This Row],[Target (₹)]])/Table_MIS_RegionalSalesData[[#This Row],[Actual Sales(₹)]]</f>
        <v>3.3333333333333333E-2</v>
      </c>
      <c r="J35" t="str">
        <f>IF(Table_MIS_RegionalSalesData[[#This Row],[Achivement(%)]]&gt;=100%,"Met Target","Below Target")</f>
        <v>Met Target</v>
      </c>
    </row>
    <row r="36" spans="1:10" x14ac:dyDescent="0.25">
      <c r="A36" t="s">
        <v>64</v>
      </c>
      <c r="B36" t="s">
        <v>10</v>
      </c>
      <c r="C36" t="s">
        <v>13</v>
      </c>
      <c r="D36">
        <v>145000</v>
      </c>
      <c r="E36">
        <v>150000</v>
      </c>
      <c r="F36" s="1">
        <v>46082</v>
      </c>
      <c r="G36" s="1" t="str">
        <f>TEXT(Table_MIS_RegionalSalesData[[#This Row],[Month]],"MMMM")</f>
        <v>March</v>
      </c>
      <c r="H36" s="3">
        <f>Table_MIS_RegionalSalesData[[#This Row],[Actual Sales(₹)]]/Table_MIS_RegionalSalesData[[#This Row],[Target (₹)]]</f>
        <v>1.0344827586206897</v>
      </c>
      <c r="I36" s="3">
        <f>(Table_MIS_RegionalSalesData[[#This Row],[Actual Sales(₹)]]-Table_MIS_RegionalSalesData[[#This Row],[Target (₹)]])/Table_MIS_RegionalSalesData[[#This Row],[Actual Sales(₹)]]</f>
        <v>3.3333333333333333E-2</v>
      </c>
      <c r="J36" t="str">
        <f>IF(Table_MIS_RegionalSalesData[[#This Row],[Achivement(%)]]&gt;=100%,"Met Target","Below Target")</f>
        <v>Met Target</v>
      </c>
    </row>
    <row r="37" spans="1:10" x14ac:dyDescent="0.25">
      <c r="A37" t="s">
        <v>59</v>
      </c>
      <c r="B37" t="s">
        <v>7</v>
      </c>
      <c r="C37" t="s">
        <v>13</v>
      </c>
      <c r="D37">
        <v>145000</v>
      </c>
      <c r="E37">
        <v>150000</v>
      </c>
      <c r="F37" s="1">
        <v>46113</v>
      </c>
      <c r="G37" s="1" t="str">
        <f>TEXT(Table_MIS_RegionalSalesData[[#This Row],[Month]],"MMMM")</f>
        <v>April</v>
      </c>
      <c r="H37" s="3">
        <f>Table_MIS_RegionalSalesData[[#This Row],[Actual Sales(₹)]]/Table_MIS_RegionalSalesData[[#This Row],[Target (₹)]]</f>
        <v>1.0344827586206897</v>
      </c>
      <c r="I37" s="3">
        <f>(Table_MIS_RegionalSalesData[[#This Row],[Actual Sales(₹)]]-Table_MIS_RegionalSalesData[[#This Row],[Target (₹)]])/Table_MIS_RegionalSalesData[[#This Row],[Actual Sales(₹)]]</f>
        <v>3.3333333333333333E-2</v>
      </c>
      <c r="J37" t="str">
        <f>IF(Table_MIS_RegionalSalesData[[#This Row],[Achivement(%)]]&gt;=100%,"Met Target","Below Target")</f>
        <v>Met Target</v>
      </c>
    </row>
    <row r="38" spans="1:10" x14ac:dyDescent="0.25">
      <c r="A38" t="s">
        <v>67</v>
      </c>
      <c r="B38" t="s">
        <v>15</v>
      </c>
      <c r="C38" t="s">
        <v>13</v>
      </c>
      <c r="D38">
        <v>155000</v>
      </c>
      <c r="E38">
        <v>160000</v>
      </c>
      <c r="F38" s="1">
        <v>46082</v>
      </c>
      <c r="G38" s="1" t="str">
        <f>TEXT(Table_MIS_RegionalSalesData[[#This Row],[Month]],"MMMM")</f>
        <v>March</v>
      </c>
      <c r="H38" s="3">
        <f>Table_MIS_RegionalSalesData[[#This Row],[Actual Sales(₹)]]/Table_MIS_RegionalSalesData[[#This Row],[Target (₹)]]</f>
        <v>1.032258064516129</v>
      </c>
      <c r="I38" s="3">
        <f>(Table_MIS_RegionalSalesData[[#This Row],[Actual Sales(₹)]]-Table_MIS_RegionalSalesData[[#This Row],[Target (₹)]])/Table_MIS_RegionalSalesData[[#This Row],[Actual Sales(₹)]]</f>
        <v>3.125E-2</v>
      </c>
      <c r="J38" t="str">
        <f>IF(Table_MIS_RegionalSalesData[[#This Row],[Achivement(%)]]&gt;=100%,"Met Target","Below Target")</f>
        <v>Met Target</v>
      </c>
    </row>
    <row r="39" spans="1:10" x14ac:dyDescent="0.25">
      <c r="A39" t="s">
        <v>57</v>
      </c>
      <c r="B39" t="s">
        <v>7</v>
      </c>
      <c r="C39" t="s">
        <v>11</v>
      </c>
      <c r="D39">
        <v>95000</v>
      </c>
      <c r="E39">
        <v>98000</v>
      </c>
      <c r="F39" s="1">
        <v>46054</v>
      </c>
      <c r="G39" s="1" t="str">
        <f>TEXT(Table_MIS_RegionalSalesData[[#This Row],[Month]],"MMMM")</f>
        <v>February</v>
      </c>
      <c r="H39" s="3">
        <f>Table_MIS_RegionalSalesData[[#This Row],[Actual Sales(₹)]]/Table_MIS_RegionalSalesData[[#This Row],[Target (₹)]]</f>
        <v>1.0315789473684212</v>
      </c>
      <c r="I39" s="3">
        <f>(Table_MIS_RegionalSalesData[[#This Row],[Actual Sales(₹)]]-Table_MIS_RegionalSalesData[[#This Row],[Target (₹)]])/Table_MIS_RegionalSalesData[[#This Row],[Actual Sales(₹)]]</f>
        <v>3.0612244897959183E-2</v>
      </c>
      <c r="J39" t="str">
        <f>IF(Table_MIS_RegionalSalesData[[#This Row],[Achivement(%)]]&gt;=100%,"Met Target","Below Target")</f>
        <v>Met Target</v>
      </c>
    </row>
    <row r="40" spans="1:10" x14ac:dyDescent="0.25">
      <c r="A40" t="s">
        <v>61</v>
      </c>
      <c r="B40" t="s">
        <v>7</v>
      </c>
      <c r="C40" t="s">
        <v>13</v>
      </c>
      <c r="D40">
        <v>160000</v>
      </c>
      <c r="E40">
        <v>165000</v>
      </c>
      <c r="F40" s="1">
        <v>46082</v>
      </c>
      <c r="G40" s="1" t="str">
        <f>TEXT(Table_MIS_RegionalSalesData[[#This Row],[Month]],"MMMM")</f>
        <v>March</v>
      </c>
      <c r="H40" s="3">
        <f>Table_MIS_RegionalSalesData[[#This Row],[Actual Sales(₹)]]/Table_MIS_RegionalSalesData[[#This Row],[Target (₹)]]</f>
        <v>1.03125</v>
      </c>
      <c r="I40" s="3">
        <f>(Table_MIS_RegionalSalesData[[#This Row],[Actual Sales(₹)]]-Table_MIS_RegionalSalesData[[#This Row],[Target (₹)]])/Table_MIS_RegionalSalesData[[#This Row],[Actual Sales(₹)]]</f>
        <v>3.0303030303030304E-2</v>
      </c>
      <c r="J40" t="str">
        <f>IF(Table_MIS_RegionalSalesData[[#This Row],[Achivement(%)]]&gt;=100%,"Met Target","Below Target")</f>
        <v>Met Target</v>
      </c>
    </row>
    <row r="41" spans="1:10" x14ac:dyDescent="0.25">
      <c r="A41" t="s">
        <v>102</v>
      </c>
      <c r="B41" t="s">
        <v>7</v>
      </c>
      <c r="C41" t="s">
        <v>13</v>
      </c>
      <c r="D41">
        <v>160000</v>
      </c>
      <c r="E41">
        <v>165000</v>
      </c>
      <c r="F41" s="1">
        <v>46143</v>
      </c>
      <c r="G41" s="1" t="str">
        <f>TEXT(Table_MIS_RegionalSalesData[[#This Row],[Month]],"MMMM")</f>
        <v>May</v>
      </c>
      <c r="H41" s="3">
        <f>Table_MIS_RegionalSalesData[[#This Row],[Actual Sales(₹)]]/Table_MIS_RegionalSalesData[[#This Row],[Target (₹)]]</f>
        <v>1.03125</v>
      </c>
      <c r="I41" s="3">
        <f>(Table_MIS_RegionalSalesData[[#This Row],[Actual Sales(₹)]]-Table_MIS_RegionalSalesData[[#This Row],[Target (₹)]])/Table_MIS_RegionalSalesData[[#This Row],[Actual Sales(₹)]]</f>
        <v>3.0303030303030304E-2</v>
      </c>
      <c r="J41" t="str">
        <f>IF(Table_MIS_RegionalSalesData[[#This Row],[Achivement(%)]]&gt;=100%,"Met Target","Below Target")</f>
        <v>Met Target</v>
      </c>
    </row>
    <row r="42" spans="1:10" x14ac:dyDescent="0.25">
      <c r="A42" t="s">
        <v>94</v>
      </c>
      <c r="B42" t="s">
        <v>10</v>
      </c>
      <c r="C42" t="s">
        <v>13</v>
      </c>
      <c r="D42">
        <v>165000</v>
      </c>
      <c r="E42">
        <v>170000</v>
      </c>
      <c r="F42" s="1">
        <v>46113</v>
      </c>
      <c r="G42" s="1" t="str">
        <f>TEXT(Table_MIS_RegionalSalesData[[#This Row],[Month]],"MMMM")</f>
        <v>April</v>
      </c>
      <c r="H42" s="3">
        <f>Table_MIS_RegionalSalesData[[#This Row],[Actual Sales(₹)]]/Table_MIS_RegionalSalesData[[#This Row],[Target (₹)]]</f>
        <v>1.0303030303030303</v>
      </c>
      <c r="I42" s="3">
        <f>(Table_MIS_RegionalSalesData[[#This Row],[Actual Sales(₹)]]-Table_MIS_RegionalSalesData[[#This Row],[Target (₹)]])/Table_MIS_RegionalSalesData[[#This Row],[Actual Sales(₹)]]</f>
        <v>2.9411764705882353E-2</v>
      </c>
      <c r="J42" t="str">
        <f>IF(Table_MIS_RegionalSalesData[[#This Row],[Achivement(%)]]&gt;=100%,"Met Target","Below Target")</f>
        <v>Met Target</v>
      </c>
    </row>
    <row r="43" spans="1:10" x14ac:dyDescent="0.25">
      <c r="A43" t="s">
        <v>114</v>
      </c>
      <c r="B43" t="s">
        <v>10</v>
      </c>
      <c r="C43" t="s">
        <v>13</v>
      </c>
      <c r="D43">
        <v>165000</v>
      </c>
      <c r="E43">
        <v>170000</v>
      </c>
      <c r="F43" s="1">
        <v>46143</v>
      </c>
      <c r="G43" s="1" t="str">
        <f>TEXT(Table_MIS_RegionalSalesData[[#This Row],[Month]],"MMMM")</f>
        <v>May</v>
      </c>
      <c r="H43" s="3">
        <f>Table_MIS_RegionalSalesData[[#This Row],[Actual Sales(₹)]]/Table_MIS_RegionalSalesData[[#This Row],[Target (₹)]]</f>
        <v>1.0303030303030303</v>
      </c>
      <c r="I43" s="3">
        <f>(Table_MIS_RegionalSalesData[[#This Row],[Actual Sales(₹)]]-Table_MIS_RegionalSalesData[[#This Row],[Target (₹)]])/Table_MIS_RegionalSalesData[[#This Row],[Actual Sales(₹)]]</f>
        <v>2.9411764705882353E-2</v>
      </c>
      <c r="J43" t="str">
        <f>IF(Table_MIS_RegionalSalesData[[#This Row],[Achivement(%)]]&gt;=100%,"Met Target","Below Target")</f>
        <v>Met Target</v>
      </c>
    </row>
    <row r="44" spans="1:10" x14ac:dyDescent="0.25">
      <c r="A44" t="s">
        <v>96</v>
      </c>
      <c r="B44" t="s">
        <v>15</v>
      </c>
      <c r="C44" t="s">
        <v>11</v>
      </c>
      <c r="D44">
        <v>80000</v>
      </c>
      <c r="E44">
        <v>82000</v>
      </c>
      <c r="F44" s="1">
        <v>46113</v>
      </c>
      <c r="G44" s="1" t="str">
        <f>TEXT(Table_MIS_RegionalSalesData[[#This Row],[Month]],"MMMM")</f>
        <v>April</v>
      </c>
      <c r="H44" s="3">
        <f>Table_MIS_RegionalSalesData[[#This Row],[Actual Sales(₹)]]/Table_MIS_RegionalSalesData[[#This Row],[Target (₹)]]</f>
        <v>1.0249999999999999</v>
      </c>
      <c r="I44" s="3">
        <f>(Table_MIS_RegionalSalesData[[#This Row],[Actual Sales(₹)]]-Table_MIS_RegionalSalesData[[#This Row],[Target (₹)]])/Table_MIS_RegionalSalesData[[#This Row],[Actual Sales(₹)]]</f>
        <v>2.4390243902439025E-2</v>
      </c>
      <c r="J44" t="str">
        <f>IF(Table_MIS_RegionalSalesData[[#This Row],[Achivement(%)]]&gt;=100%,"Met Target","Below Target")</f>
        <v>Met Target</v>
      </c>
    </row>
    <row r="45" spans="1:10" x14ac:dyDescent="0.25">
      <c r="A45" t="s">
        <v>87</v>
      </c>
      <c r="B45" t="s">
        <v>24</v>
      </c>
      <c r="C45" t="s">
        <v>11</v>
      </c>
      <c r="D45">
        <v>82000</v>
      </c>
      <c r="E45">
        <v>84000</v>
      </c>
      <c r="F45" s="1">
        <v>46113</v>
      </c>
      <c r="G45" s="1" t="str">
        <f>TEXT(Table_MIS_RegionalSalesData[[#This Row],[Month]],"MMMM")</f>
        <v>April</v>
      </c>
      <c r="H45" s="3">
        <f>Table_MIS_RegionalSalesData[[#This Row],[Actual Sales(₹)]]/Table_MIS_RegionalSalesData[[#This Row],[Target (₹)]]</f>
        <v>1.024390243902439</v>
      </c>
      <c r="I45" s="3">
        <f>(Table_MIS_RegionalSalesData[[#This Row],[Actual Sales(₹)]]-Table_MIS_RegionalSalesData[[#This Row],[Target (₹)]])/Table_MIS_RegionalSalesData[[#This Row],[Actual Sales(₹)]]</f>
        <v>2.3809523809523808E-2</v>
      </c>
      <c r="J45" t="str">
        <f>IF(Table_MIS_RegionalSalesData[[#This Row],[Achivement(%)]]&gt;=100%,"Met Target","Below Target")</f>
        <v>Met Target</v>
      </c>
    </row>
    <row r="46" spans="1:10" x14ac:dyDescent="0.25">
      <c r="A46" t="s">
        <v>68</v>
      </c>
      <c r="B46" t="s">
        <v>7</v>
      </c>
      <c r="C46" t="s">
        <v>8</v>
      </c>
      <c r="D46">
        <v>110000</v>
      </c>
      <c r="E46">
        <v>112000</v>
      </c>
      <c r="F46" s="1">
        <v>46082</v>
      </c>
      <c r="G46" s="1" t="str">
        <f>TEXT(Table_MIS_RegionalSalesData[[#This Row],[Month]],"MMMM")</f>
        <v>March</v>
      </c>
      <c r="H46" s="3">
        <f>Table_MIS_RegionalSalesData[[#This Row],[Actual Sales(₹)]]/Table_MIS_RegionalSalesData[[#This Row],[Target (₹)]]</f>
        <v>1.0181818181818181</v>
      </c>
      <c r="I46" s="3">
        <f>(Table_MIS_RegionalSalesData[[#This Row],[Actual Sales(₹)]]-Table_MIS_RegionalSalesData[[#This Row],[Target (₹)]])/Table_MIS_RegionalSalesData[[#This Row],[Actual Sales(₹)]]</f>
        <v>1.7857142857142856E-2</v>
      </c>
      <c r="J46" t="str">
        <f>IF(Table_MIS_RegionalSalesData[[#This Row],[Achivement(%)]]&gt;=100%,"Met Target","Below Target")</f>
        <v>Met Target</v>
      </c>
    </row>
    <row r="47" spans="1:10" x14ac:dyDescent="0.25">
      <c r="A47" t="s">
        <v>51</v>
      </c>
      <c r="B47" t="s">
        <v>15</v>
      </c>
      <c r="C47" t="s">
        <v>11</v>
      </c>
      <c r="D47">
        <v>88000</v>
      </c>
      <c r="E47">
        <v>89000</v>
      </c>
      <c r="F47" s="1">
        <v>46054</v>
      </c>
      <c r="G47" s="1" t="str">
        <f>TEXT(Table_MIS_RegionalSalesData[[#This Row],[Month]],"MMMM")</f>
        <v>February</v>
      </c>
      <c r="H47" s="3">
        <f>Table_MIS_RegionalSalesData[[#This Row],[Actual Sales(₹)]]/Table_MIS_RegionalSalesData[[#This Row],[Target (₹)]]</f>
        <v>1.0113636363636365</v>
      </c>
      <c r="I47" s="3">
        <f>(Table_MIS_RegionalSalesData[[#This Row],[Actual Sales(₹)]]-Table_MIS_RegionalSalesData[[#This Row],[Target (₹)]])/Table_MIS_RegionalSalesData[[#This Row],[Actual Sales(₹)]]</f>
        <v>1.1235955056179775E-2</v>
      </c>
      <c r="J47" t="str">
        <f>IF(Table_MIS_RegionalSalesData[[#This Row],[Achivement(%)]]&gt;=100%,"Met Target","Below Target")</f>
        <v>Met Target</v>
      </c>
    </row>
    <row r="48" spans="1:10" x14ac:dyDescent="0.25">
      <c r="A48" t="s">
        <v>35</v>
      </c>
      <c r="B48" t="s">
        <v>20</v>
      </c>
      <c r="C48" t="s">
        <v>11</v>
      </c>
      <c r="D48">
        <v>90000</v>
      </c>
      <c r="E48">
        <v>91000</v>
      </c>
      <c r="F48" s="1">
        <v>46023</v>
      </c>
      <c r="G48" s="1" t="str">
        <f>TEXT(Table_MIS_RegionalSalesData[[#This Row],[Month]],"MMMM")</f>
        <v>January</v>
      </c>
      <c r="H48" s="3">
        <f>Table_MIS_RegionalSalesData[[#This Row],[Actual Sales(₹)]]/Table_MIS_RegionalSalesData[[#This Row],[Target (₹)]]</f>
        <v>1.0111111111111111</v>
      </c>
      <c r="I48" s="3">
        <f>(Table_MIS_RegionalSalesData[[#This Row],[Actual Sales(₹)]]-Table_MIS_RegionalSalesData[[#This Row],[Target (₹)]])/Table_MIS_RegionalSalesData[[#This Row],[Actual Sales(₹)]]</f>
        <v>1.098901098901099E-2</v>
      </c>
      <c r="J48" t="str">
        <f>IF(Table_MIS_RegionalSalesData[[#This Row],[Achivement(%)]]&gt;=100%,"Met Target","Below Target")</f>
        <v>Met Target</v>
      </c>
    </row>
    <row r="49" spans="1:10" x14ac:dyDescent="0.25">
      <c r="A49" t="s">
        <v>18</v>
      </c>
      <c r="B49" t="s">
        <v>7</v>
      </c>
      <c r="C49" t="s">
        <v>13</v>
      </c>
      <c r="D49">
        <v>160000</v>
      </c>
      <c r="E49">
        <v>160000</v>
      </c>
      <c r="F49" s="1">
        <v>46023</v>
      </c>
      <c r="G49" s="1" t="str">
        <f>TEXT(Table_MIS_RegionalSalesData[[#This Row],[Month]],"MMMM")</f>
        <v>January</v>
      </c>
      <c r="H49" s="3">
        <f>Table_MIS_RegionalSalesData[[#This Row],[Actual Sales(₹)]]/Table_MIS_RegionalSalesData[[#This Row],[Target (₹)]]</f>
        <v>1</v>
      </c>
      <c r="I49" s="3">
        <f>(Table_MIS_RegionalSalesData[[#This Row],[Actual Sales(₹)]]-Table_MIS_RegionalSalesData[[#This Row],[Target (₹)]])/Table_MIS_RegionalSalesData[[#This Row],[Actual Sales(₹)]]</f>
        <v>0</v>
      </c>
      <c r="J49" t="str">
        <f>IF(Table_MIS_RegionalSalesData[[#This Row],[Achivement(%)]]&gt;=100%,"Met Target","Below Target")</f>
        <v>Met Target</v>
      </c>
    </row>
    <row r="50" spans="1:10" x14ac:dyDescent="0.25">
      <c r="A50" t="s">
        <v>25</v>
      </c>
      <c r="B50" t="s">
        <v>26</v>
      </c>
      <c r="C50" t="s">
        <v>11</v>
      </c>
      <c r="D50">
        <v>95000</v>
      </c>
      <c r="E50">
        <v>95000</v>
      </c>
      <c r="F50" s="1">
        <v>46023</v>
      </c>
      <c r="G50" s="1" t="str">
        <f>TEXT(Table_MIS_RegionalSalesData[[#This Row],[Month]],"MMMM")</f>
        <v>January</v>
      </c>
      <c r="H50" s="3">
        <f>Table_MIS_RegionalSalesData[[#This Row],[Actual Sales(₹)]]/Table_MIS_RegionalSalesData[[#This Row],[Target (₹)]]</f>
        <v>1</v>
      </c>
      <c r="I50" s="3">
        <f>(Table_MIS_RegionalSalesData[[#This Row],[Actual Sales(₹)]]-Table_MIS_RegionalSalesData[[#This Row],[Target (₹)]])/Table_MIS_RegionalSalesData[[#This Row],[Actual Sales(₹)]]</f>
        <v>0</v>
      </c>
      <c r="J50" t="str">
        <f>IF(Table_MIS_RegionalSalesData[[#This Row],[Achivement(%)]]&gt;=100%,"Met Target","Below Target")</f>
        <v>Met Target</v>
      </c>
    </row>
    <row r="51" spans="1:10" x14ac:dyDescent="0.25">
      <c r="A51" t="s">
        <v>37</v>
      </c>
      <c r="B51" t="s">
        <v>7</v>
      </c>
      <c r="C51" t="s">
        <v>11</v>
      </c>
      <c r="D51">
        <v>88000</v>
      </c>
      <c r="E51">
        <v>88000</v>
      </c>
      <c r="F51" s="1">
        <v>46054</v>
      </c>
      <c r="G51" s="1" t="str">
        <f>TEXT(Table_MIS_RegionalSalesData[[#This Row],[Month]],"MMMM")</f>
        <v>February</v>
      </c>
      <c r="H51" s="3">
        <f>Table_MIS_RegionalSalesData[[#This Row],[Actual Sales(₹)]]/Table_MIS_RegionalSalesData[[#This Row],[Target (₹)]]</f>
        <v>1</v>
      </c>
      <c r="I51" s="3">
        <f>(Table_MIS_RegionalSalesData[[#This Row],[Actual Sales(₹)]]-Table_MIS_RegionalSalesData[[#This Row],[Target (₹)]])/Table_MIS_RegionalSalesData[[#This Row],[Actual Sales(₹)]]</f>
        <v>0</v>
      </c>
      <c r="J51" t="str">
        <f>IF(Table_MIS_RegionalSalesData[[#This Row],[Achivement(%)]]&gt;=100%,"Met Target","Below Target")</f>
        <v>Met Target</v>
      </c>
    </row>
    <row r="52" spans="1:10" x14ac:dyDescent="0.25">
      <c r="A52" t="s">
        <v>45</v>
      </c>
      <c r="B52" t="s">
        <v>7</v>
      </c>
      <c r="C52" t="s">
        <v>11</v>
      </c>
      <c r="D52">
        <v>92000</v>
      </c>
      <c r="E52">
        <v>92000</v>
      </c>
      <c r="F52" s="1">
        <v>46054</v>
      </c>
      <c r="G52" s="1" t="str">
        <f>TEXT(Table_MIS_RegionalSalesData[[#This Row],[Month]],"MMMM")</f>
        <v>February</v>
      </c>
      <c r="H52" s="3">
        <f>Table_MIS_RegionalSalesData[[#This Row],[Actual Sales(₹)]]/Table_MIS_RegionalSalesData[[#This Row],[Target (₹)]]</f>
        <v>1</v>
      </c>
      <c r="I52" s="3">
        <f>(Table_MIS_RegionalSalesData[[#This Row],[Actual Sales(₹)]]-Table_MIS_RegionalSalesData[[#This Row],[Target (₹)]])/Table_MIS_RegionalSalesData[[#This Row],[Actual Sales(₹)]]</f>
        <v>0</v>
      </c>
      <c r="J52" t="str">
        <f>IF(Table_MIS_RegionalSalesData[[#This Row],[Achivement(%)]]&gt;=100%,"Met Target","Below Target")</f>
        <v>Met Target</v>
      </c>
    </row>
    <row r="53" spans="1:10" x14ac:dyDescent="0.25">
      <c r="A53" t="s">
        <v>47</v>
      </c>
      <c r="B53" t="s">
        <v>7</v>
      </c>
      <c r="C53" t="s">
        <v>8</v>
      </c>
      <c r="D53">
        <v>135000</v>
      </c>
      <c r="E53">
        <v>135000</v>
      </c>
      <c r="F53" s="1">
        <v>46054</v>
      </c>
      <c r="G53" s="1" t="str">
        <f>TEXT(Table_MIS_RegionalSalesData[[#This Row],[Month]],"MMMM")</f>
        <v>February</v>
      </c>
      <c r="H53" s="3">
        <f>Table_MIS_RegionalSalesData[[#This Row],[Actual Sales(₹)]]/Table_MIS_RegionalSalesData[[#This Row],[Target (₹)]]</f>
        <v>1</v>
      </c>
      <c r="I53" s="3">
        <f>(Table_MIS_RegionalSalesData[[#This Row],[Actual Sales(₹)]]-Table_MIS_RegionalSalesData[[#This Row],[Target (₹)]])/Table_MIS_RegionalSalesData[[#This Row],[Actual Sales(₹)]]</f>
        <v>0</v>
      </c>
      <c r="J53" t="str">
        <f>IF(Table_MIS_RegionalSalesData[[#This Row],[Achivement(%)]]&gt;=100%,"Met Target","Below Target")</f>
        <v>Met Target</v>
      </c>
    </row>
    <row r="54" spans="1:10" x14ac:dyDescent="0.25">
      <c r="A54" t="s">
        <v>60</v>
      </c>
      <c r="B54" t="s">
        <v>15</v>
      </c>
      <c r="C54" t="s">
        <v>11</v>
      </c>
      <c r="D54">
        <v>90000</v>
      </c>
      <c r="E54">
        <v>90000</v>
      </c>
      <c r="F54" s="1">
        <v>46082</v>
      </c>
      <c r="G54" s="1" t="str">
        <f>TEXT(Table_MIS_RegionalSalesData[[#This Row],[Month]],"MMMM")</f>
        <v>March</v>
      </c>
      <c r="H54" s="3">
        <f>Table_MIS_RegionalSalesData[[#This Row],[Actual Sales(₹)]]/Table_MIS_RegionalSalesData[[#This Row],[Target (₹)]]</f>
        <v>1</v>
      </c>
      <c r="I54" s="3">
        <f>(Table_MIS_RegionalSalesData[[#This Row],[Actual Sales(₹)]]-Table_MIS_RegionalSalesData[[#This Row],[Target (₹)]])/Table_MIS_RegionalSalesData[[#This Row],[Actual Sales(₹)]]</f>
        <v>0</v>
      </c>
      <c r="J54" t="str">
        <f>IF(Table_MIS_RegionalSalesData[[#This Row],[Achivement(%)]]&gt;=100%,"Met Target","Below Target")</f>
        <v>Met Target</v>
      </c>
    </row>
    <row r="55" spans="1:10" x14ac:dyDescent="0.25">
      <c r="A55" t="s">
        <v>74</v>
      </c>
      <c r="B55" t="s">
        <v>7</v>
      </c>
      <c r="C55" t="s">
        <v>8</v>
      </c>
      <c r="D55">
        <v>115000</v>
      </c>
      <c r="E55">
        <v>115000</v>
      </c>
      <c r="F55" s="1">
        <v>46082</v>
      </c>
      <c r="G55" s="1" t="str">
        <f>TEXT(Table_MIS_RegionalSalesData[[#This Row],[Month]],"MMMM")</f>
        <v>March</v>
      </c>
      <c r="H55" s="3">
        <f>Table_MIS_RegionalSalesData[[#This Row],[Actual Sales(₹)]]/Table_MIS_RegionalSalesData[[#This Row],[Target (₹)]]</f>
        <v>1</v>
      </c>
      <c r="I55" s="3">
        <f>(Table_MIS_RegionalSalesData[[#This Row],[Actual Sales(₹)]]-Table_MIS_RegionalSalesData[[#This Row],[Target (₹)]])/Table_MIS_RegionalSalesData[[#This Row],[Actual Sales(₹)]]</f>
        <v>0</v>
      </c>
      <c r="J55" t="str">
        <f>IF(Table_MIS_RegionalSalesData[[#This Row],[Achivement(%)]]&gt;=100%,"Met Target","Below Target")</f>
        <v>Met Target</v>
      </c>
    </row>
    <row r="56" spans="1:10" x14ac:dyDescent="0.25">
      <c r="A56" t="s">
        <v>84</v>
      </c>
      <c r="B56" t="s">
        <v>7</v>
      </c>
      <c r="C56" t="s">
        <v>11</v>
      </c>
      <c r="D56">
        <v>85000</v>
      </c>
      <c r="E56">
        <v>85000</v>
      </c>
      <c r="F56" s="1">
        <v>46113</v>
      </c>
      <c r="G56" s="1" t="str">
        <f>TEXT(Table_MIS_RegionalSalesData[[#This Row],[Month]],"MMMM")</f>
        <v>April</v>
      </c>
      <c r="H56" s="3">
        <f>Table_MIS_RegionalSalesData[[#This Row],[Actual Sales(₹)]]/Table_MIS_RegionalSalesData[[#This Row],[Target (₹)]]</f>
        <v>1</v>
      </c>
      <c r="I56" s="3">
        <f>(Table_MIS_RegionalSalesData[[#This Row],[Actual Sales(₹)]]-Table_MIS_RegionalSalesData[[#This Row],[Target (₹)]])/Table_MIS_RegionalSalesData[[#This Row],[Actual Sales(₹)]]</f>
        <v>0</v>
      </c>
      <c r="J56" t="str">
        <f>IF(Table_MIS_RegionalSalesData[[#This Row],[Achivement(%)]]&gt;=100%,"Met Target","Below Target")</f>
        <v>Met Target</v>
      </c>
    </row>
    <row r="57" spans="1:10" x14ac:dyDescent="0.25">
      <c r="A57" t="s">
        <v>93</v>
      </c>
      <c r="B57" t="s">
        <v>17</v>
      </c>
      <c r="C57" t="s">
        <v>11</v>
      </c>
      <c r="D57">
        <v>95000</v>
      </c>
      <c r="E57">
        <v>95000</v>
      </c>
      <c r="F57" s="1">
        <v>46113</v>
      </c>
      <c r="G57" s="1" t="str">
        <f>TEXT(Table_MIS_RegionalSalesData[[#This Row],[Month]],"MMMM")</f>
        <v>April</v>
      </c>
      <c r="H57" s="3">
        <f>Table_MIS_RegionalSalesData[[#This Row],[Actual Sales(₹)]]/Table_MIS_RegionalSalesData[[#This Row],[Target (₹)]]</f>
        <v>1</v>
      </c>
      <c r="I57" s="3">
        <f>(Table_MIS_RegionalSalesData[[#This Row],[Actual Sales(₹)]]-Table_MIS_RegionalSalesData[[#This Row],[Target (₹)]])/Table_MIS_RegionalSalesData[[#This Row],[Actual Sales(₹)]]</f>
        <v>0</v>
      </c>
      <c r="J57" t="str">
        <f>IF(Table_MIS_RegionalSalesData[[#This Row],[Achivement(%)]]&gt;=100%,"Met Target","Below Target")</f>
        <v>Met Target</v>
      </c>
    </row>
    <row r="58" spans="1:10" x14ac:dyDescent="0.25">
      <c r="A58" t="s">
        <v>110</v>
      </c>
      <c r="B58" t="s">
        <v>7</v>
      </c>
      <c r="C58" t="s">
        <v>11</v>
      </c>
      <c r="D58">
        <v>95000</v>
      </c>
      <c r="E58">
        <v>95000</v>
      </c>
      <c r="F58" s="1">
        <v>46143</v>
      </c>
      <c r="G58" s="1" t="str">
        <f>TEXT(Table_MIS_RegionalSalesData[[#This Row],[Month]],"MMMM")</f>
        <v>May</v>
      </c>
      <c r="H58" s="3">
        <f>Table_MIS_RegionalSalesData[[#This Row],[Actual Sales(₹)]]/Table_MIS_RegionalSalesData[[#This Row],[Target (₹)]]</f>
        <v>1</v>
      </c>
      <c r="I58" s="3">
        <f>(Table_MIS_RegionalSalesData[[#This Row],[Actual Sales(₹)]]-Table_MIS_RegionalSalesData[[#This Row],[Target (₹)]])/Table_MIS_RegionalSalesData[[#This Row],[Actual Sales(₹)]]</f>
        <v>0</v>
      </c>
      <c r="J58" t="str">
        <f>IF(Table_MIS_RegionalSalesData[[#This Row],[Achivement(%)]]&gt;=100%,"Met Target","Below Target")</f>
        <v>Met Target</v>
      </c>
    </row>
    <row r="59" spans="1:10" x14ac:dyDescent="0.25">
      <c r="A59" t="s">
        <v>112</v>
      </c>
      <c r="B59" t="s">
        <v>7</v>
      </c>
      <c r="C59" t="s">
        <v>8</v>
      </c>
      <c r="D59">
        <v>130000</v>
      </c>
      <c r="E59">
        <v>130000</v>
      </c>
      <c r="F59" s="1">
        <v>46143</v>
      </c>
      <c r="G59" s="1" t="str">
        <f>TEXT(Table_MIS_RegionalSalesData[[#This Row],[Month]],"MMMM")</f>
        <v>May</v>
      </c>
      <c r="H59" s="3">
        <f>Table_MIS_RegionalSalesData[[#This Row],[Actual Sales(₹)]]/Table_MIS_RegionalSalesData[[#This Row],[Target (₹)]]</f>
        <v>1</v>
      </c>
      <c r="I59" s="3">
        <f>(Table_MIS_RegionalSalesData[[#This Row],[Actual Sales(₹)]]-Table_MIS_RegionalSalesData[[#This Row],[Target (₹)]])/Table_MIS_RegionalSalesData[[#This Row],[Actual Sales(₹)]]</f>
        <v>0</v>
      </c>
      <c r="J59" t="str">
        <f>IF(Table_MIS_RegionalSalesData[[#This Row],[Achivement(%)]]&gt;=100%,"Met Target","Below Target")</f>
        <v>Met Target</v>
      </c>
    </row>
    <row r="60" spans="1:10" x14ac:dyDescent="0.25">
      <c r="A60" t="s">
        <v>90</v>
      </c>
      <c r="B60" t="s">
        <v>7</v>
      </c>
      <c r="C60" t="s">
        <v>11</v>
      </c>
      <c r="D60">
        <v>88000</v>
      </c>
      <c r="E60">
        <v>87000</v>
      </c>
      <c r="F60" s="1">
        <v>46113</v>
      </c>
      <c r="G60" s="1" t="str">
        <f>TEXT(Table_MIS_RegionalSalesData[[#This Row],[Month]],"MMMM")</f>
        <v>April</v>
      </c>
      <c r="H60" s="3">
        <f>Table_MIS_RegionalSalesData[[#This Row],[Actual Sales(₹)]]/Table_MIS_RegionalSalesData[[#This Row],[Target (₹)]]</f>
        <v>0.98863636363636365</v>
      </c>
      <c r="I60" s="3">
        <f>(Table_MIS_RegionalSalesData[[#This Row],[Actual Sales(₹)]]-Table_MIS_RegionalSalesData[[#This Row],[Target (₹)]])/Table_MIS_RegionalSalesData[[#This Row],[Actual Sales(₹)]]</f>
        <v>-1.1494252873563218E-2</v>
      </c>
      <c r="J60" t="str">
        <f>IF(Table_MIS_RegionalSalesData[[#This Row],[Achivement(%)]]&gt;=100%,"Met Target","Below Target")</f>
        <v>Below Target</v>
      </c>
    </row>
    <row r="61" spans="1:10" x14ac:dyDescent="0.25">
      <c r="A61" t="s">
        <v>27</v>
      </c>
      <c r="B61" t="s">
        <v>7</v>
      </c>
      <c r="C61" t="s">
        <v>8</v>
      </c>
      <c r="D61">
        <v>130000</v>
      </c>
      <c r="E61">
        <v>128000</v>
      </c>
      <c r="F61" s="1">
        <v>46023</v>
      </c>
      <c r="G61" s="1" t="str">
        <f>TEXT(Table_MIS_RegionalSalesData[[#This Row],[Month]],"MMMM")</f>
        <v>January</v>
      </c>
      <c r="H61" s="3">
        <f>Table_MIS_RegionalSalesData[[#This Row],[Actual Sales(₹)]]/Table_MIS_RegionalSalesData[[#This Row],[Target (₹)]]</f>
        <v>0.98461538461538467</v>
      </c>
      <c r="I61" s="3">
        <f>(Table_MIS_RegionalSalesData[[#This Row],[Actual Sales(₹)]]-Table_MIS_RegionalSalesData[[#This Row],[Target (₹)]])/Table_MIS_RegionalSalesData[[#This Row],[Actual Sales(₹)]]</f>
        <v>-1.5625E-2</v>
      </c>
      <c r="J61" t="str">
        <f>IF(Table_MIS_RegionalSalesData[[#This Row],[Achivement(%)]]&gt;=100%,"Met Target","Below Target")</f>
        <v>Below Target</v>
      </c>
    </row>
    <row r="62" spans="1:10" x14ac:dyDescent="0.25">
      <c r="A62" t="s">
        <v>81</v>
      </c>
      <c r="B62" t="s">
        <v>7</v>
      </c>
      <c r="C62" t="s">
        <v>11</v>
      </c>
      <c r="D62">
        <v>92000</v>
      </c>
      <c r="E62">
        <v>90000</v>
      </c>
      <c r="F62" s="1">
        <v>46113</v>
      </c>
      <c r="G62" s="1" t="str">
        <f>TEXT(Table_MIS_RegionalSalesData[[#This Row],[Month]],"MMMM")</f>
        <v>April</v>
      </c>
      <c r="H62" s="3">
        <f>Table_MIS_RegionalSalesData[[#This Row],[Actual Sales(₹)]]/Table_MIS_RegionalSalesData[[#This Row],[Target (₹)]]</f>
        <v>0.97826086956521741</v>
      </c>
      <c r="I62" s="3">
        <f>(Table_MIS_RegionalSalesData[[#This Row],[Actual Sales(₹)]]-Table_MIS_RegionalSalesData[[#This Row],[Target (₹)]])/Table_MIS_RegionalSalesData[[#This Row],[Actual Sales(₹)]]</f>
        <v>-2.2222222222222223E-2</v>
      </c>
      <c r="J62" t="str">
        <f>IF(Table_MIS_RegionalSalesData[[#This Row],[Achivement(%)]]&gt;=100%,"Met Target","Below Target")</f>
        <v>Below Target</v>
      </c>
    </row>
    <row r="63" spans="1:10" x14ac:dyDescent="0.25">
      <c r="A63" t="s">
        <v>113</v>
      </c>
      <c r="B63" t="s">
        <v>17</v>
      </c>
      <c r="C63" t="s">
        <v>11</v>
      </c>
      <c r="D63">
        <v>92000</v>
      </c>
      <c r="E63">
        <v>90000</v>
      </c>
      <c r="F63" s="1">
        <v>46143</v>
      </c>
      <c r="G63" s="1" t="str">
        <f>TEXT(Table_MIS_RegionalSalesData[[#This Row],[Month]],"MMMM")</f>
        <v>May</v>
      </c>
      <c r="H63" s="3">
        <f>Table_MIS_RegionalSalesData[[#This Row],[Actual Sales(₹)]]/Table_MIS_RegionalSalesData[[#This Row],[Target (₹)]]</f>
        <v>0.97826086956521741</v>
      </c>
      <c r="I63" s="3">
        <f>(Table_MIS_RegionalSalesData[[#This Row],[Actual Sales(₹)]]-Table_MIS_RegionalSalesData[[#This Row],[Target (₹)]])/Table_MIS_RegionalSalesData[[#This Row],[Actual Sales(₹)]]</f>
        <v>-2.2222222222222223E-2</v>
      </c>
      <c r="J63" t="str">
        <f>IF(Table_MIS_RegionalSalesData[[#This Row],[Achivement(%)]]&gt;=100%,"Met Target","Below Target")</f>
        <v>Below Target</v>
      </c>
    </row>
    <row r="64" spans="1:10" x14ac:dyDescent="0.25">
      <c r="A64" t="s">
        <v>54</v>
      </c>
      <c r="B64" t="s">
        <v>22</v>
      </c>
      <c r="C64" t="s">
        <v>11</v>
      </c>
      <c r="D64">
        <v>85000</v>
      </c>
      <c r="E64">
        <v>83000</v>
      </c>
      <c r="F64" s="1">
        <v>46054</v>
      </c>
      <c r="G64" s="1" t="str">
        <f>TEXT(Table_MIS_RegionalSalesData[[#This Row],[Month]],"MMMM")</f>
        <v>February</v>
      </c>
      <c r="H64" s="3">
        <f>Table_MIS_RegionalSalesData[[#This Row],[Actual Sales(₹)]]/Table_MIS_RegionalSalesData[[#This Row],[Target (₹)]]</f>
        <v>0.97647058823529409</v>
      </c>
      <c r="I64" s="3">
        <f>(Table_MIS_RegionalSalesData[[#This Row],[Actual Sales(₹)]]-Table_MIS_RegionalSalesData[[#This Row],[Target (₹)]])/Table_MIS_RegionalSalesData[[#This Row],[Actual Sales(₹)]]</f>
        <v>-2.4096385542168676E-2</v>
      </c>
      <c r="J64" t="str">
        <f>IF(Table_MIS_RegionalSalesData[[#This Row],[Achivement(%)]]&gt;=100%,"Met Target","Below Target")</f>
        <v>Below Target</v>
      </c>
    </row>
    <row r="65" spans="1:10" x14ac:dyDescent="0.25">
      <c r="A65" t="s">
        <v>92</v>
      </c>
      <c r="B65" t="s">
        <v>7</v>
      </c>
      <c r="C65" t="s">
        <v>8</v>
      </c>
      <c r="D65">
        <v>125000</v>
      </c>
      <c r="E65">
        <v>122000</v>
      </c>
      <c r="F65" s="1">
        <v>46113</v>
      </c>
      <c r="G65" s="1" t="str">
        <f>TEXT(Table_MIS_RegionalSalesData[[#This Row],[Month]],"MMMM")</f>
        <v>April</v>
      </c>
      <c r="H65" s="3">
        <f>Table_MIS_RegionalSalesData[[#This Row],[Actual Sales(₹)]]/Table_MIS_RegionalSalesData[[#This Row],[Target (₹)]]</f>
        <v>0.97599999999999998</v>
      </c>
      <c r="I65" s="3">
        <f>(Table_MIS_RegionalSalesData[[#This Row],[Actual Sales(₹)]]-Table_MIS_RegionalSalesData[[#This Row],[Target (₹)]])/Table_MIS_RegionalSalesData[[#This Row],[Actual Sales(₹)]]</f>
        <v>-2.4590163934426229E-2</v>
      </c>
      <c r="J65" t="str">
        <f>IF(Table_MIS_RegionalSalesData[[#This Row],[Achivement(%)]]&gt;=100%,"Met Target","Below Target")</f>
        <v>Below Target</v>
      </c>
    </row>
    <row r="66" spans="1:10" x14ac:dyDescent="0.25">
      <c r="A66" t="s">
        <v>104</v>
      </c>
      <c r="B66" t="s">
        <v>7</v>
      </c>
      <c r="C66" t="s">
        <v>11</v>
      </c>
      <c r="D66">
        <v>82000</v>
      </c>
      <c r="E66">
        <v>80000</v>
      </c>
      <c r="F66" s="1">
        <v>46143</v>
      </c>
      <c r="G66" s="1" t="str">
        <f>TEXT(Table_MIS_RegionalSalesData[[#This Row],[Month]],"MMMM")</f>
        <v>May</v>
      </c>
      <c r="H66" s="3">
        <f>Table_MIS_RegionalSalesData[[#This Row],[Actual Sales(₹)]]/Table_MIS_RegionalSalesData[[#This Row],[Target (₹)]]</f>
        <v>0.97560975609756095</v>
      </c>
      <c r="I66" s="3">
        <f>(Table_MIS_RegionalSalesData[[#This Row],[Actual Sales(₹)]]-Table_MIS_RegionalSalesData[[#This Row],[Target (₹)]])/Table_MIS_RegionalSalesData[[#This Row],[Actual Sales(₹)]]</f>
        <v>-2.5000000000000001E-2</v>
      </c>
      <c r="J66" t="str">
        <f>IF(Table_MIS_RegionalSalesData[[#This Row],[Achivement(%)]]&gt;=100%,"Met Target","Below Target")</f>
        <v>Below Target</v>
      </c>
    </row>
    <row r="67" spans="1:10" x14ac:dyDescent="0.25">
      <c r="A67" t="s">
        <v>48</v>
      </c>
      <c r="B67" t="s">
        <v>10</v>
      </c>
      <c r="C67" t="s">
        <v>11</v>
      </c>
      <c r="D67">
        <v>80000</v>
      </c>
      <c r="E67">
        <v>78000</v>
      </c>
      <c r="F67" s="1">
        <v>46054</v>
      </c>
      <c r="G67" s="1" t="str">
        <f>TEXT(Table_MIS_RegionalSalesData[[#This Row],[Month]],"MMMM")</f>
        <v>February</v>
      </c>
      <c r="H67" s="3">
        <f>Table_MIS_RegionalSalesData[[#This Row],[Actual Sales(₹)]]/Table_MIS_RegionalSalesData[[#This Row],[Target (₹)]]</f>
        <v>0.97499999999999998</v>
      </c>
      <c r="I67" s="3">
        <f>(Table_MIS_RegionalSalesData[[#This Row],[Actual Sales(₹)]]-Table_MIS_RegionalSalesData[[#This Row],[Target (₹)]])/Table_MIS_RegionalSalesData[[#This Row],[Actual Sales(₹)]]</f>
        <v>-2.564102564102564E-2</v>
      </c>
      <c r="J67" t="str">
        <f>IF(Table_MIS_RegionalSalesData[[#This Row],[Achivement(%)]]&gt;=100%,"Met Target","Below Target")</f>
        <v>Below Target</v>
      </c>
    </row>
    <row r="68" spans="1:10" x14ac:dyDescent="0.25">
      <c r="A68" t="s">
        <v>78</v>
      </c>
      <c r="B68" t="s">
        <v>7</v>
      </c>
      <c r="C68" t="s">
        <v>11</v>
      </c>
      <c r="D68">
        <v>80000</v>
      </c>
      <c r="E68">
        <v>78000</v>
      </c>
      <c r="F68" s="1">
        <v>46082</v>
      </c>
      <c r="G68" s="1" t="str">
        <f>TEXT(Table_MIS_RegionalSalesData[[#This Row],[Month]],"MMMM")</f>
        <v>March</v>
      </c>
      <c r="H68" s="3">
        <f>Table_MIS_RegionalSalesData[[#This Row],[Actual Sales(₹)]]/Table_MIS_RegionalSalesData[[#This Row],[Target (₹)]]</f>
        <v>0.97499999999999998</v>
      </c>
      <c r="I68" s="3">
        <f>(Table_MIS_RegionalSalesData[[#This Row],[Actual Sales(₹)]]-Table_MIS_RegionalSalesData[[#This Row],[Target (₹)]])/Table_MIS_RegionalSalesData[[#This Row],[Actual Sales(₹)]]</f>
        <v>-2.564102564102564E-2</v>
      </c>
      <c r="J68" t="str">
        <f>IF(Table_MIS_RegionalSalesData[[#This Row],[Achivement(%)]]&gt;=100%,"Met Target","Below Target")</f>
        <v>Below Target</v>
      </c>
    </row>
    <row r="69" spans="1:10" x14ac:dyDescent="0.25">
      <c r="A69" t="s">
        <v>62</v>
      </c>
      <c r="B69" t="s">
        <v>17</v>
      </c>
      <c r="C69" t="s">
        <v>8</v>
      </c>
      <c r="D69">
        <v>195000</v>
      </c>
      <c r="E69">
        <v>190000</v>
      </c>
      <c r="F69" s="1">
        <v>46082</v>
      </c>
      <c r="G69" s="1" t="str">
        <f>TEXT(Table_MIS_RegionalSalesData[[#This Row],[Month]],"MMMM")</f>
        <v>March</v>
      </c>
      <c r="H69" s="3">
        <f>Table_MIS_RegionalSalesData[[#This Row],[Actual Sales(₹)]]/Table_MIS_RegionalSalesData[[#This Row],[Target (₹)]]</f>
        <v>0.97435897435897434</v>
      </c>
      <c r="I69" s="3">
        <f>(Table_MIS_RegionalSalesData[[#This Row],[Actual Sales(₹)]]-Table_MIS_RegionalSalesData[[#This Row],[Target (₹)]])/Table_MIS_RegionalSalesData[[#This Row],[Actual Sales(₹)]]</f>
        <v>-2.6315789473684209E-2</v>
      </c>
      <c r="J69" t="str">
        <f>IF(Table_MIS_RegionalSalesData[[#This Row],[Achivement(%)]]&gt;=100%,"Met Target","Below Target")</f>
        <v>Below Target</v>
      </c>
    </row>
    <row r="70" spans="1:10" x14ac:dyDescent="0.25">
      <c r="A70" t="s">
        <v>103</v>
      </c>
      <c r="B70" t="s">
        <v>17</v>
      </c>
      <c r="C70" t="s">
        <v>8</v>
      </c>
      <c r="D70">
        <v>195000</v>
      </c>
      <c r="E70">
        <v>190000</v>
      </c>
      <c r="F70" s="1">
        <v>46143</v>
      </c>
      <c r="G70" s="1" t="str">
        <f>TEXT(Table_MIS_RegionalSalesData[[#This Row],[Month]],"MMMM")</f>
        <v>May</v>
      </c>
      <c r="H70" s="3">
        <f>Table_MIS_RegionalSalesData[[#This Row],[Actual Sales(₹)]]/Table_MIS_RegionalSalesData[[#This Row],[Target (₹)]]</f>
        <v>0.97435897435897434</v>
      </c>
      <c r="I70" s="3">
        <f>(Table_MIS_RegionalSalesData[[#This Row],[Actual Sales(₹)]]-Table_MIS_RegionalSalesData[[#This Row],[Target (₹)]])/Table_MIS_RegionalSalesData[[#This Row],[Actual Sales(₹)]]</f>
        <v>-2.6315789473684209E-2</v>
      </c>
      <c r="J70" t="str">
        <f>IF(Table_MIS_RegionalSalesData[[#This Row],[Achivement(%)]]&gt;=100%,"Met Target","Below Target")</f>
        <v>Below Target</v>
      </c>
    </row>
    <row r="71" spans="1:10" x14ac:dyDescent="0.25">
      <c r="A71" t="s">
        <v>36</v>
      </c>
      <c r="B71" t="s">
        <v>17</v>
      </c>
      <c r="C71" t="s">
        <v>8</v>
      </c>
      <c r="D71">
        <v>190000</v>
      </c>
      <c r="E71">
        <v>185000</v>
      </c>
      <c r="F71" s="1">
        <v>46023</v>
      </c>
      <c r="G71" s="1" t="str">
        <f>TEXT(Table_MIS_RegionalSalesData[[#This Row],[Month]],"MMMM")</f>
        <v>January</v>
      </c>
      <c r="H71" s="3">
        <f>Table_MIS_RegionalSalesData[[#This Row],[Actual Sales(₹)]]/Table_MIS_RegionalSalesData[[#This Row],[Target (₹)]]</f>
        <v>0.97368421052631582</v>
      </c>
      <c r="I71" s="3">
        <f>(Table_MIS_RegionalSalesData[[#This Row],[Actual Sales(₹)]]-Table_MIS_RegionalSalesData[[#This Row],[Target (₹)]])/Table_MIS_RegionalSalesData[[#This Row],[Actual Sales(₹)]]</f>
        <v>-2.7027027027027029E-2</v>
      </c>
      <c r="J71" t="str">
        <f>IF(Table_MIS_RegionalSalesData[[#This Row],[Achivement(%)]]&gt;=100%,"Met Target","Below Target")</f>
        <v>Below Target</v>
      </c>
    </row>
    <row r="72" spans="1:10" x14ac:dyDescent="0.25">
      <c r="A72" t="s">
        <v>83</v>
      </c>
      <c r="B72" t="s">
        <v>17</v>
      </c>
      <c r="C72" t="s">
        <v>8</v>
      </c>
      <c r="D72">
        <v>190000</v>
      </c>
      <c r="E72">
        <v>185000</v>
      </c>
      <c r="F72" s="1">
        <v>46113</v>
      </c>
      <c r="G72" s="1" t="str">
        <f>TEXT(Table_MIS_RegionalSalesData[[#This Row],[Month]],"MMMM")</f>
        <v>April</v>
      </c>
      <c r="H72" s="3">
        <f>Table_MIS_RegionalSalesData[[#This Row],[Actual Sales(₹)]]/Table_MIS_RegionalSalesData[[#This Row],[Target (₹)]]</f>
        <v>0.97368421052631582</v>
      </c>
      <c r="I72" s="3">
        <f>(Table_MIS_RegionalSalesData[[#This Row],[Actual Sales(₹)]]-Table_MIS_RegionalSalesData[[#This Row],[Target (₹)]])/Table_MIS_RegionalSalesData[[#This Row],[Actual Sales(₹)]]</f>
        <v>-2.7027027027027029E-2</v>
      </c>
      <c r="J72" t="str">
        <f>IF(Table_MIS_RegionalSalesData[[#This Row],[Achivement(%)]]&gt;=100%,"Met Target","Below Target")</f>
        <v>Below Target</v>
      </c>
    </row>
    <row r="73" spans="1:10" x14ac:dyDescent="0.25">
      <c r="A73" t="s">
        <v>77</v>
      </c>
      <c r="B73" t="s">
        <v>24</v>
      </c>
      <c r="C73" t="s">
        <v>8</v>
      </c>
      <c r="D73">
        <v>185000</v>
      </c>
      <c r="E73">
        <v>180000</v>
      </c>
      <c r="F73" s="1">
        <v>46082</v>
      </c>
      <c r="G73" s="1" t="str">
        <f>TEXT(Table_MIS_RegionalSalesData[[#This Row],[Month]],"MMMM")</f>
        <v>March</v>
      </c>
      <c r="H73" s="3">
        <f>Table_MIS_RegionalSalesData[[#This Row],[Actual Sales(₹)]]/Table_MIS_RegionalSalesData[[#This Row],[Target (₹)]]</f>
        <v>0.97297297297297303</v>
      </c>
      <c r="I73" s="3">
        <f>(Table_MIS_RegionalSalesData[[#This Row],[Actual Sales(₹)]]-Table_MIS_RegionalSalesData[[#This Row],[Target (₹)]])/Table_MIS_RegionalSalesData[[#This Row],[Actual Sales(₹)]]</f>
        <v>-2.7777777777777776E-2</v>
      </c>
      <c r="J73" t="str">
        <f>IF(Table_MIS_RegionalSalesData[[#This Row],[Achivement(%)]]&gt;=100%,"Met Target","Below Target")</f>
        <v>Below Target</v>
      </c>
    </row>
    <row r="74" spans="1:10" x14ac:dyDescent="0.25">
      <c r="A74" t="s">
        <v>53</v>
      </c>
      <c r="B74" t="s">
        <v>17</v>
      </c>
      <c r="C74" t="s">
        <v>8</v>
      </c>
      <c r="D74">
        <v>180000</v>
      </c>
      <c r="E74">
        <v>175000</v>
      </c>
      <c r="F74" s="1">
        <v>46054</v>
      </c>
      <c r="G74" s="1" t="str">
        <f>TEXT(Table_MIS_RegionalSalesData[[#This Row],[Month]],"MMMM")</f>
        <v>February</v>
      </c>
      <c r="H74" s="3">
        <f>Table_MIS_RegionalSalesData[[#This Row],[Actual Sales(₹)]]/Table_MIS_RegionalSalesData[[#This Row],[Target (₹)]]</f>
        <v>0.97222222222222221</v>
      </c>
      <c r="I74" s="3">
        <f>(Table_MIS_RegionalSalesData[[#This Row],[Actual Sales(₹)]]-Table_MIS_RegionalSalesData[[#This Row],[Target (₹)]])/Table_MIS_RegionalSalesData[[#This Row],[Actual Sales(₹)]]</f>
        <v>-2.8571428571428571E-2</v>
      </c>
      <c r="J74" t="str">
        <f>IF(Table_MIS_RegionalSalesData[[#This Row],[Achivement(%)]]&gt;=100%,"Met Target","Below Target")</f>
        <v>Below Target</v>
      </c>
    </row>
    <row r="75" spans="1:10" x14ac:dyDescent="0.25">
      <c r="A75" t="s">
        <v>43</v>
      </c>
      <c r="B75" t="s">
        <v>17</v>
      </c>
      <c r="C75" t="s">
        <v>13</v>
      </c>
      <c r="D75">
        <v>165000</v>
      </c>
      <c r="E75">
        <v>160000</v>
      </c>
      <c r="F75" s="1">
        <v>46054</v>
      </c>
      <c r="G75" s="1" t="str">
        <f>TEXT(Table_MIS_RegionalSalesData[[#This Row],[Month]],"MMMM")</f>
        <v>February</v>
      </c>
      <c r="H75" s="3">
        <f>Table_MIS_RegionalSalesData[[#This Row],[Actual Sales(₹)]]/Table_MIS_RegionalSalesData[[#This Row],[Target (₹)]]</f>
        <v>0.96969696969696972</v>
      </c>
      <c r="I75" s="3">
        <f>(Table_MIS_RegionalSalesData[[#This Row],[Actual Sales(₹)]]-Table_MIS_RegionalSalesData[[#This Row],[Target (₹)]])/Table_MIS_RegionalSalesData[[#This Row],[Actual Sales(₹)]]</f>
        <v>-3.125E-2</v>
      </c>
      <c r="J75" t="str">
        <f>IF(Table_MIS_RegionalSalesData[[#This Row],[Achivement(%)]]&gt;=100%,"Met Target","Below Target")</f>
        <v>Below Target</v>
      </c>
    </row>
    <row r="76" spans="1:10" x14ac:dyDescent="0.25">
      <c r="A76" t="s">
        <v>85</v>
      </c>
      <c r="B76" t="s">
        <v>10</v>
      </c>
      <c r="C76" t="s">
        <v>13</v>
      </c>
      <c r="D76">
        <v>160000</v>
      </c>
      <c r="E76">
        <v>155000</v>
      </c>
      <c r="F76" s="1">
        <v>46113</v>
      </c>
      <c r="G76" s="1" t="str">
        <f>TEXT(Table_MIS_RegionalSalesData[[#This Row],[Month]],"MMMM")</f>
        <v>April</v>
      </c>
      <c r="H76" s="3">
        <f>Table_MIS_RegionalSalesData[[#This Row],[Actual Sales(₹)]]/Table_MIS_RegionalSalesData[[#This Row],[Target (₹)]]</f>
        <v>0.96875</v>
      </c>
      <c r="I76" s="3">
        <f>(Table_MIS_RegionalSalesData[[#This Row],[Actual Sales(₹)]]-Table_MIS_RegionalSalesData[[#This Row],[Target (₹)]])/Table_MIS_RegionalSalesData[[#This Row],[Actual Sales(₹)]]</f>
        <v>-3.2258064516129031E-2</v>
      </c>
      <c r="J76" t="str">
        <f>IF(Table_MIS_RegionalSalesData[[#This Row],[Achivement(%)]]&gt;=100%,"Met Target","Below Target")</f>
        <v>Below Target</v>
      </c>
    </row>
    <row r="77" spans="1:10" x14ac:dyDescent="0.25">
      <c r="A77" t="s">
        <v>72</v>
      </c>
      <c r="B77" t="s">
        <v>17</v>
      </c>
      <c r="C77" t="s">
        <v>11</v>
      </c>
      <c r="D77">
        <v>95000</v>
      </c>
      <c r="E77">
        <v>92000</v>
      </c>
      <c r="F77" s="1">
        <v>46082</v>
      </c>
      <c r="G77" s="1" t="str">
        <f>TEXT(Table_MIS_RegionalSalesData[[#This Row],[Month]],"MMMM")</f>
        <v>March</v>
      </c>
      <c r="H77" s="3">
        <f>Table_MIS_RegionalSalesData[[#This Row],[Actual Sales(₹)]]/Table_MIS_RegionalSalesData[[#This Row],[Target (₹)]]</f>
        <v>0.96842105263157896</v>
      </c>
      <c r="I77" s="3">
        <f>(Table_MIS_RegionalSalesData[[#This Row],[Actual Sales(₹)]]-Table_MIS_RegionalSalesData[[#This Row],[Target (₹)]])/Table_MIS_RegionalSalesData[[#This Row],[Actual Sales(₹)]]</f>
        <v>-3.2608695652173912E-2</v>
      </c>
      <c r="J77" t="str">
        <f>IF(Table_MIS_RegionalSalesData[[#This Row],[Achivement(%)]]&gt;=100%,"Met Target","Below Target")</f>
        <v>Below Target</v>
      </c>
    </row>
    <row r="78" spans="1:10" x14ac:dyDescent="0.25">
      <c r="A78" t="s">
        <v>99</v>
      </c>
      <c r="B78" t="s">
        <v>10</v>
      </c>
      <c r="C78" t="s">
        <v>13</v>
      </c>
      <c r="D78">
        <v>155000</v>
      </c>
      <c r="E78">
        <v>150000</v>
      </c>
      <c r="F78" s="1">
        <v>46143</v>
      </c>
      <c r="G78" s="1" t="str">
        <f>TEXT(Table_MIS_RegionalSalesData[[#This Row],[Month]],"MMMM")</f>
        <v>May</v>
      </c>
      <c r="H78" s="3">
        <f>Table_MIS_RegionalSalesData[[#This Row],[Actual Sales(₹)]]/Table_MIS_RegionalSalesData[[#This Row],[Target (₹)]]</f>
        <v>0.967741935483871</v>
      </c>
      <c r="I78" s="3">
        <f>(Table_MIS_RegionalSalesData[[#This Row],[Actual Sales(₹)]]-Table_MIS_RegionalSalesData[[#This Row],[Target (₹)]])/Table_MIS_RegionalSalesData[[#This Row],[Actual Sales(₹)]]</f>
        <v>-3.3333333333333333E-2</v>
      </c>
      <c r="J78" t="str">
        <f>IF(Table_MIS_RegionalSalesData[[#This Row],[Achivement(%)]]&gt;=100%,"Met Target","Below Target")</f>
        <v>Below Target</v>
      </c>
    </row>
    <row r="79" spans="1:10" x14ac:dyDescent="0.25">
      <c r="A79" t="s">
        <v>58</v>
      </c>
      <c r="B79" t="s">
        <v>10</v>
      </c>
      <c r="C79" t="s">
        <v>13</v>
      </c>
      <c r="D79">
        <v>150000</v>
      </c>
      <c r="E79">
        <v>145000</v>
      </c>
      <c r="F79" s="1">
        <v>46054</v>
      </c>
      <c r="G79" s="1" t="str">
        <f>TEXT(Table_MIS_RegionalSalesData[[#This Row],[Month]],"MMMM")</f>
        <v>February</v>
      </c>
      <c r="H79" s="3">
        <f>Table_MIS_RegionalSalesData[[#This Row],[Actual Sales(₹)]]/Table_MIS_RegionalSalesData[[#This Row],[Target (₹)]]</f>
        <v>0.96666666666666667</v>
      </c>
      <c r="I79" s="3">
        <f>(Table_MIS_RegionalSalesData[[#This Row],[Actual Sales(₹)]]-Table_MIS_RegionalSalesData[[#This Row],[Target (₹)]])/Table_MIS_RegionalSalesData[[#This Row],[Actual Sales(₹)]]</f>
        <v>-3.4482758620689655E-2</v>
      </c>
      <c r="J79" t="str">
        <f>IF(Table_MIS_RegionalSalesData[[#This Row],[Achivement(%)]]&gt;=100%,"Met Target","Below Target")</f>
        <v>Below Target</v>
      </c>
    </row>
    <row r="80" spans="1:10" x14ac:dyDescent="0.25">
      <c r="A80" t="s">
        <v>69</v>
      </c>
      <c r="B80" t="s">
        <v>7</v>
      </c>
      <c r="C80" t="s">
        <v>11</v>
      </c>
      <c r="D80">
        <v>88000</v>
      </c>
      <c r="E80">
        <v>85000</v>
      </c>
      <c r="F80" s="1">
        <v>46082</v>
      </c>
      <c r="G80" s="1" t="str">
        <f>TEXT(Table_MIS_RegionalSalesData[[#This Row],[Month]],"MMMM")</f>
        <v>March</v>
      </c>
      <c r="H80" s="3">
        <f>Table_MIS_RegionalSalesData[[#This Row],[Actual Sales(₹)]]/Table_MIS_RegionalSalesData[[#This Row],[Target (₹)]]</f>
        <v>0.96590909090909094</v>
      </c>
      <c r="I80" s="3">
        <f>(Table_MIS_RegionalSalesData[[#This Row],[Actual Sales(₹)]]-Table_MIS_RegionalSalesData[[#This Row],[Target (₹)]])/Table_MIS_RegionalSalesData[[#This Row],[Actual Sales(₹)]]</f>
        <v>-3.5294117647058823E-2</v>
      </c>
      <c r="J80" t="str">
        <f>IF(Table_MIS_RegionalSalesData[[#This Row],[Achivement(%)]]&gt;=100%,"Met Target","Below Target")</f>
        <v>Below Target</v>
      </c>
    </row>
    <row r="81" spans="1:10" x14ac:dyDescent="0.25">
      <c r="A81" t="s">
        <v>79</v>
      </c>
      <c r="B81" t="s">
        <v>10</v>
      </c>
      <c r="C81" t="s">
        <v>13</v>
      </c>
      <c r="D81">
        <v>145000</v>
      </c>
      <c r="E81">
        <v>140000</v>
      </c>
      <c r="F81" s="1">
        <v>46113</v>
      </c>
      <c r="G81" s="1" t="str">
        <f>TEXT(Table_MIS_RegionalSalesData[[#This Row],[Month]],"MMMM")</f>
        <v>April</v>
      </c>
      <c r="H81" s="3">
        <f>Table_MIS_RegionalSalesData[[#This Row],[Actual Sales(₹)]]/Table_MIS_RegionalSalesData[[#This Row],[Target (₹)]]</f>
        <v>0.96551724137931039</v>
      </c>
      <c r="I81" s="3">
        <f>(Table_MIS_RegionalSalesData[[#This Row],[Actual Sales(₹)]]-Table_MIS_RegionalSalesData[[#This Row],[Target (₹)]])/Table_MIS_RegionalSalesData[[#This Row],[Actual Sales(₹)]]</f>
        <v>-3.5714285714285712E-2</v>
      </c>
      <c r="J81" t="str">
        <f>IF(Table_MIS_RegionalSalesData[[#This Row],[Achivement(%)]]&gt;=100%,"Met Target","Below Target")</f>
        <v>Below Target</v>
      </c>
    </row>
    <row r="82" spans="1:10" x14ac:dyDescent="0.25">
      <c r="A82" t="s">
        <v>105</v>
      </c>
      <c r="B82" t="s">
        <v>10</v>
      </c>
      <c r="C82" t="s">
        <v>13</v>
      </c>
      <c r="D82">
        <v>145000</v>
      </c>
      <c r="E82">
        <v>140000</v>
      </c>
      <c r="F82" s="1">
        <v>46143</v>
      </c>
      <c r="G82" s="1" t="str">
        <f>TEXT(Table_MIS_RegionalSalesData[[#This Row],[Month]],"MMMM")</f>
        <v>May</v>
      </c>
      <c r="H82" s="3">
        <f>Table_MIS_RegionalSalesData[[#This Row],[Actual Sales(₹)]]/Table_MIS_RegionalSalesData[[#This Row],[Target (₹)]]</f>
        <v>0.96551724137931039</v>
      </c>
      <c r="I82" s="3">
        <f>(Table_MIS_RegionalSalesData[[#This Row],[Actual Sales(₹)]]-Table_MIS_RegionalSalesData[[#This Row],[Target (₹)]])/Table_MIS_RegionalSalesData[[#This Row],[Actual Sales(₹)]]</f>
        <v>-3.5714285714285712E-2</v>
      </c>
      <c r="J82" t="str">
        <f>IF(Table_MIS_RegionalSalesData[[#This Row],[Achivement(%)]]&gt;=100%,"Met Target","Below Target")</f>
        <v>Below Target</v>
      </c>
    </row>
    <row r="83" spans="1:10" x14ac:dyDescent="0.25">
      <c r="A83" t="s">
        <v>63</v>
      </c>
      <c r="B83" t="s">
        <v>7</v>
      </c>
      <c r="C83" t="s">
        <v>11</v>
      </c>
      <c r="D83">
        <v>85000</v>
      </c>
      <c r="E83">
        <v>82000</v>
      </c>
      <c r="F83" s="1">
        <v>46082</v>
      </c>
      <c r="G83" s="1" t="str">
        <f>TEXT(Table_MIS_RegionalSalesData[[#This Row],[Month]],"MMMM")</f>
        <v>March</v>
      </c>
      <c r="H83" s="3">
        <f>Table_MIS_RegionalSalesData[[#This Row],[Actual Sales(₹)]]/Table_MIS_RegionalSalesData[[#This Row],[Target (₹)]]</f>
        <v>0.96470588235294119</v>
      </c>
      <c r="I83" s="3">
        <f>(Table_MIS_RegionalSalesData[[#This Row],[Actual Sales(₹)]]-Table_MIS_RegionalSalesData[[#This Row],[Target (₹)]])/Table_MIS_RegionalSalesData[[#This Row],[Actual Sales(₹)]]</f>
        <v>-3.6585365853658534E-2</v>
      </c>
      <c r="J83" t="str">
        <f>IF(Table_MIS_RegionalSalesData[[#This Row],[Achivement(%)]]&gt;=100%,"Met Target","Below Target")</f>
        <v>Below Target</v>
      </c>
    </row>
    <row r="84" spans="1:10" x14ac:dyDescent="0.25">
      <c r="A84" t="s">
        <v>23</v>
      </c>
      <c r="B84" t="s">
        <v>24</v>
      </c>
      <c r="C84" t="s">
        <v>13</v>
      </c>
      <c r="D84">
        <v>140000</v>
      </c>
      <c r="E84">
        <v>135000</v>
      </c>
      <c r="F84" s="1">
        <v>46023</v>
      </c>
      <c r="G84" s="1" t="str">
        <f>TEXT(Table_MIS_RegionalSalesData[[#This Row],[Month]],"MMMM")</f>
        <v>January</v>
      </c>
      <c r="H84" s="3">
        <f>Table_MIS_RegionalSalesData[[#This Row],[Actual Sales(₹)]]/Table_MIS_RegionalSalesData[[#This Row],[Target (₹)]]</f>
        <v>0.9642857142857143</v>
      </c>
      <c r="I84" s="3">
        <f>(Table_MIS_RegionalSalesData[[#This Row],[Actual Sales(₹)]]-Table_MIS_RegionalSalesData[[#This Row],[Target (₹)]])/Table_MIS_RegionalSalesData[[#This Row],[Actual Sales(₹)]]</f>
        <v>-3.7037037037037035E-2</v>
      </c>
      <c r="J84" t="str">
        <f>IF(Table_MIS_RegionalSalesData[[#This Row],[Achivement(%)]]&gt;=100%,"Met Target","Below Target")</f>
        <v>Below Target</v>
      </c>
    </row>
    <row r="85" spans="1:10" x14ac:dyDescent="0.25">
      <c r="A85" t="s">
        <v>70</v>
      </c>
      <c r="B85" t="s">
        <v>22</v>
      </c>
      <c r="C85" t="s">
        <v>13</v>
      </c>
      <c r="D85">
        <v>135000</v>
      </c>
      <c r="E85">
        <v>130000</v>
      </c>
      <c r="F85" s="1">
        <v>46082</v>
      </c>
      <c r="G85" s="1" t="str">
        <f>TEXT(Table_MIS_RegionalSalesData[[#This Row],[Month]],"MMMM")</f>
        <v>March</v>
      </c>
      <c r="H85" s="3">
        <f>Table_MIS_RegionalSalesData[[#This Row],[Actual Sales(₹)]]/Table_MIS_RegionalSalesData[[#This Row],[Target (₹)]]</f>
        <v>0.96296296296296291</v>
      </c>
      <c r="I85" s="3">
        <f>(Table_MIS_RegionalSalesData[[#This Row],[Actual Sales(₹)]]-Table_MIS_RegionalSalesData[[#This Row],[Target (₹)]])/Table_MIS_RegionalSalesData[[#This Row],[Actual Sales(₹)]]</f>
        <v>-3.8461538461538464E-2</v>
      </c>
      <c r="J85" t="str">
        <f>IF(Table_MIS_RegionalSalesData[[#This Row],[Achivement(%)]]&gt;=100%,"Met Target","Below Target")</f>
        <v>Below Target</v>
      </c>
    </row>
    <row r="86" spans="1:10" x14ac:dyDescent="0.25">
      <c r="A86" t="s">
        <v>86</v>
      </c>
      <c r="B86" t="s">
        <v>7</v>
      </c>
      <c r="C86" t="s">
        <v>8</v>
      </c>
      <c r="D86">
        <v>135000</v>
      </c>
      <c r="E86">
        <v>130000</v>
      </c>
      <c r="F86" s="1">
        <v>46113</v>
      </c>
      <c r="G86" s="1" t="str">
        <f>TEXT(Table_MIS_RegionalSalesData[[#This Row],[Month]],"MMMM")</f>
        <v>April</v>
      </c>
      <c r="H86" s="3">
        <f>Table_MIS_RegionalSalesData[[#This Row],[Actual Sales(₹)]]/Table_MIS_RegionalSalesData[[#This Row],[Target (₹)]]</f>
        <v>0.96296296296296291</v>
      </c>
      <c r="I86" s="3">
        <f>(Table_MIS_RegionalSalesData[[#This Row],[Actual Sales(₹)]]-Table_MIS_RegionalSalesData[[#This Row],[Target (₹)]])/Table_MIS_RegionalSalesData[[#This Row],[Actual Sales(₹)]]</f>
        <v>-3.8461538461538464E-2</v>
      </c>
      <c r="J86" t="str">
        <f>IF(Table_MIS_RegionalSalesData[[#This Row],[Achivement(%)]]&gt;=100%,"Met Target","Below Target")</f>
        <v>Below Target</v>
      </c>
    </row>
    <row r="87" spans="1:10" x14ac:dyDescent="0.25">
      <c r="A87" t="s">
        <v>6</v>
      </c>
      <c r="B87" t="s">
        <v>7</v>
      </c>
      <c r="C87" t="s">
        <v>8</v>
      </c>
      <c r="D87">
        <v>120000</v>
      </c>
      <c r="E87">
        <v>115000</v>
      </c>
      <c r="F87" s="1">
        <v>46023</v>
      </c>
      <c r="G87" s="1" t="str">
        <f>TEXT(Table_MIS_RegionalSalesData[[#This Row],[Month]],"MMMM")</f>
        <v>January</v>
      </c>
      <c r="H87" s="3">
        <f>Table_MIS_RegionalSalesData[[#This Row],[Actual Sales(₹)]]/Table_MIS_RegionalSalesData[[#This Row],[Target (₹)]]</f>
        <v>0.95833333333333337</v>
      </c>
      <c r="I87" s="3">
        <f>(Table_MIS_RegionalSalesData[[#This Row],[Actual Sales(₹)]]-Table_MIS_RegionalSalesData[[#This Row],[Target (₹)]])/Table_MIS_RegionalSalesData[[#This Row],[Actual Sales(₹)]]</f>
        <v>-4.3478260869565216E-2</v>
      </c>
      <c r="J87" t="str">
        <f>IF(Table_MIS_RegionalSalesData[[#This Row],[Achivement(%)]]&gt;=100%,"Met Target","Below Target")</f>
        <v>Below Target</v>
      </c>
    </row>
    <row r="88" spans="1:10" x14ac:dyDescent="0.25">
      <c r="A88" t="s">
        <v>56</v>
      </c>
      <c r="B88" t="s">
        <v>7</v>
      </c>
      <c r="C88" t="s">
        <v>8</v>
      </c>
      <c r="D88">
        <v>120000</v>
      </c>
      <c r="E88">
        <v>115000</v>
      </c>
      <c r="F88" s="1">
        <v>46054</v>
      </c>
      <c r="G88" s="1" t="str">
        <f>TEXT(Table_MIS_RegionalSalesData[[#This Row],[Month]],"MMMM")</f>
        <v>February</v>
      </c>
      <c r="H88" s="3">
        <f>Table_MIS_RegionalSalesData[[#This Row],[Actual Sales(₹)]]/Table_MIS_RegionalSalesData[[#This Row],[Target (₹)]]</f>
        <v>0.95833333333333337</v>
      </c>
      <c r="I88" s="3">
        <f>(Table_MIS_RegionalSalesData[[#This Row],[Actual Sales(₹)]]-Table_MIS_RegionalSalesData[[#This Row],[Target (₹)]])/Table_MIS_RegionalSalesData[[#This Row],[Actual Sales(₹)]]</f>
        <v>-4.3478260869565216E-2</v>
      </c>
      <c r="J88" t="str">
        <f>IF(Table_MIS_RegionalSalesData[[#This Row],[Achivement(%)]]&gt;=100%,"Met Target","Below Target")</f>
        <v>Below Target</v>
      </c>
    </row>
    <row r="89" spans="1:10" x14ac:dyDescent="0.25">
      <c r="A89" t="s">
        <v>33</v>
      </c>
      <c r="B89" t="s">
        <v>24</v>
      </c>
      <c r="C89" t="s">
        <v>8</v>
      </c>
      <c r="D89">
        <v>115000</v>
      </c>
      <c r="E89">
        <v>110000</v>
      </c>
      <c r="F89" s="1">
        <v>46023</v>
      </c>
      <c r="G89" s="1" t="str">
        <f>TEXT(Table_MIS_RegionalSalesData[[#This Row],[Month]],"MMMM")</f>
        <v>January</v>
      </c>
      <c r="H89" s="3">
        <f>Table_MIS_RegionalSalesData[[#This Row],[Actual Sales(₹)]]/Table_MIS_RegionalSalesData[[#This Row],[Target (₹)]]</f>
        <v>0.95652173913043481</v>
      </c>
      <c r="I89" s="3">
        <f>(Table_MIS_RegionalSalesData[[#This Row],[Actual Sales(₹)]]-Table_MIS_RegionalSalesData[[#This Row],[Target (₹)]])/Table_MIS_RegionalSalesData[[#This Row],[Actual Sales(₹)]]</f>
        <v>-4.5454545454545456E-2</v>
      </c>
      <c r="J89" t="str">
        <f>IF(Table_MIS_RegionalSalesData[[#This Row],[Achivement(%)]]&gt;=100%,"Met Target","Below Target")</f>
        <v>Below Target</v>
      </c>
    </row>
    <row r="90" spans="1:10" x14ac:dyDescent="0.25">
      <c r="A90" t="s">
        <v>109</v>
      </c>
      <c r="B90" t="s">
        <v>7</v>
      </c>
      <c r="C90" t="s">
        <v>8</v>
      </c>
      <c r="D90">
        <v>115000</v>
      </c>
      <c r="E90">
        <v>110000</v>
      </c>
      <c r="F90" s="1">
        <v>46143</v>
      </c>
      <c r="G90" s="1" t="str">
        <f>TEXT(Table_MIS_RegionalSalesData[[#This Row],[Month]],"MMMM")</f>
        <v>May</v>
      </c>
      <c r="H90" s="3">
        <f>Table_MIS_RegionalSalesData[[#This Row],[Actual Sales(₹)]]/Table_MIS_RegionalSalesData[[#This Row],[Target (₹)]]</f>
        <v>0.95652173913043481</v>
      </c>
      <c r="I90" s="3">
        <f>(Table_MIS_RegionalSalesData[[#This Row],[Actual Sales(₹)]]-Table_MIS_RegionalSalesData[[#This Row],[Target (₹)]])/Table_MIS_RegionalSalesData[[#This Row],[Actual Sales(₹)]]</f>
        <v>-4.5454545454545456E-2</v>
      </c>
      <c r="J90" t="str">
        <f>IF(Table_MIS_RegionalSalesData[[#This Row],[Achivement(%)]]&gt;=100%,"Met Target","Below Target")</f>
        <v>Below Target</v>
      </c>
    </row>
    <row r="91" spans="1:10" x14ac:dyDescent="0.25">
      <c r="A91" t="s">
        <v>97</v>
      </c>
      <c r="B91" t="s">
        <v>24</v>
      </c>
      <c r="C91" t="s">
        <v>8</v>
      </c>
      <c r="D91">
        <v>110000</v>
      </c>
      <c r="E91">
        <v>105000</v>
      </c>
      <c r="F91" s="1">
        <v>46113</v>
      </c>
      <c r="G91" s="1" t="str">
        <f>TEXT(Table_MIS_RegionalSalesData[[#This Row],[Month]],"MMMM")</f>
        <v>April</v>
      </c>
      <c r="H91" s="3">
        <f>Table_MIS_RegionalSalesData[[#This Row],[Actual Sales(₹)]]/Table_MIS_RegionalSalesData[[#This Row],[Target (₹)]]</f>
        <v>0.95454545454545459</v>
      </c>
      <c r="I91" s="3">
        <f>(Table_MIS_RegionalSalesData[[#This Row],[Actual Sales(₹)]]-Table_MIS_RegionalSalesData[[#This Row],[Target (₹)]])/Table_MIS_RegionalSalesData[[#This Row],[Actual Sales(₹)]]</f>
        <v>-4.7619047619047616E-2</v>
      </c>
      <c r="J91" t="str">
        <f>IF(Table_MIS_RegionalSalesData[[#This Row],[Achivement(%)]]&gt;=100%,"Met Target","Below Target")</f>
        <v>Below Target</v>
      </c>
    </row>
    <row r="92" spans="1:10" x14ac:dyDescent="0.25">
      <c r="A92" t="s">
        <v>49</v>
      </c>
      <c r="B92" t="s">
        <v>24</v>
      </c>
      <c r="C92" t="s">
        <v>13</v>
      </c>
      <c r="D92">
        <v>145000</v>
      </c>
      <c r="E92">
        <v>138000</v>
      </c>
      <c r="F92" s="1">
        <v>46054</v>
      </c>
      <c r="G92" s="1" t="str">
        <f>TEXT(Table_MIS_RegionalSalesData[[#This Row],[Month]],"MMMM")</f>
        <v>February</v>
      </c>
      <c r="H92" s="3">
        <f>Table_MIS_RegionalSalesData[[#This Row],[Actual Sales(₹)]]/Table_MIS_RegionalSalesData[[#This Row],[Target (₹)]]</f>
        <v>0.9517241379310345</v>
      </c>
      <c r="I92" s="3">
        <f>(Table_MIS_RegionalSalesData[[#This Row],[Actual Sales(₹)]]-Table_MIS_RegionalSalesData[[#This Row],[Target (₹)]])/Table_MIS_RegionalSalesData[[#This Row],[Actual Sales(₹)]]</f>
        <v>-5.0724637681159424E-2</v>
      </c>
      <c r="J92" t="str">
        <f>IF(Table_MIS_RegionalSalesData[[#This Row],[Achivement(%)]]&gt;=100%,"Met Target","Below Target")</f>
        <v>Below Target</v>
      </c>
    </row>
    <row r="93" spans="1:10" x14ac:dyDescent="0.25">
      <c r="A93" t="s">
        <v>14</v>
      </c>
      <c r="B93" t="s">
        <v>15</v>
      </c>
      <c r="C93" t="s">
        <v>11</v>
      </c>
      <c r="D93">
        <v>90000</v>
      </c>
      <c r="E93">
        <v>85000</v>
      </c>
      <c r="F93" s="1">
        <v>46023</v>
      </c>
      <c r="G93" s="1" t="str">
        <f>TEXT(Table_MIS_RegionalSalesData[[#This Row],[Month]],"MMMM")</f>
        <v>January</v>
      </c>
      <c r="H93" s="3">
        <f>Table_MIS_RegionalSalesData[[#This Row],[Actual Sales(₹)]]/Table_MIS_RegionalSalesData[[#This Row],[Target (₹)]]</f>
        <v>0.94444444444444442</v>
      </c>
      <c r="I93" s="3">
        <f>(Table_MIS_RegionalSalesData[[#This Row],[Actual Sales(₹)]]-Table_MIS_RegionalSalesData[[#This Row],[Target (₹)]])/Table_MIS_RegionalSalesData[[#This Row],[Actual Sales(₹)]]</f>
        <v>-5.8823529411764705E-2</v>
      </c>
      <c r="J93" t="str">
        <f>IF(Table_MIS_RegionalSalesData[[#This Row],[Achivement(%)]]&gt;=100%,"Met Target","Below Target")</f>
        <v>Below Target</v>
      </c>
    </row>
    <row r="94" spans="1:10" x14ac:dyDescent="0.25">
      <c r="A94" t="s">
        <v>101</v>
      </c>
      <c r="B94" t="s">
        <v>15</v>
      </c>
      <c r="C94" t="s">
        <v>11</v>
      </c>
      <c r="D94">
        <v>90000</v>
      </c>
      <c r="E94">
        <v>85000</v>
      </c>
      <c r="F94" s="1">
        <v>46143</v>
      </c>
      <c r="G94" s="1" t="str">
        <f>TEXT(Table_MIS_RegionalSalesData[[#This Row],[Month]],"MMMM")</f>
        <v>May</v>
      </c>
      <c r="H94" s="3">
        <f>Table_MIS_RegionalSalesData[[#This Row],[Actual Sales(₹)]]/Table_MIS_RegionalSalesData[[#This Row],[Target (₹)]]</f>
        <v>0.94444444444444442</v>
      </c>
      <c r="I94" s="3">
        <f>(Table_MIS_RegionalSalesData[[#This Row],[Actual Sales(₹)]]-Table_MIS_RegionalSalesData[[#This Row],[Target (₹)]])/Table_MIS_RegionalSalesData[[#This Row],[Actual Sales(₹)]]</f>
        <v>-5.8823529411764705E-2</v>
      </c>
      <c r="J94" t="str">
        <f>IF(Table_MIS_RegionalSalesData[[#This Row],[Achivement(%)]]&gt;=100%,"Met Target","Below Target")</f>
        <v>Below Target</v>
      </c>
    </row>
    <row r="95" spans="1:10" x14ac:dyDescent="0.25">
      <c r="A95" t="s">
        <v>29</v>
      </c>
      <c r="B95" t="s">
        <v>10</v>
      </c>
      <c r="C95" t="s">
        <v>11</v>
      </c>
      <c r="D95">
        <v>85000</v>
      </c>
      <c r="E95">
        <v>80000</v>
      </c>
      <c r="F95" s="1">
        <v>46023</v>
      </c>
      <c r="G95" s="1" t="str">
        <f>TEXT(Table_MIS_RegionalSalesData[[#This Row],[Month]],"MMMM")</f>
        <v>January</v>
      </c>
      <c r="H95" s="3">
        <f>Table_MIS_RegionalSalesData[[#This Row],[Actual Sales(₹)]]/Table_MIS_RegionalSalesData[[#This Row],[Target (₹)]]</f>
        <v>0.94117647058823528</v>
      </c>
      <c r="I95" s="3">
        <f>(Table_MIS_RegionalSalesData[[#This Row],[Actual Sales(₹)]]-Table_MIS_RegionalSalesData[[#This Row],[Target (₹)]])/Table_MIS_RegionalSalesData[[#This Row],[Actual Sales(₹)]]</f>
        <v>-6.25E-2</v>
      </c>
      <c r="J95" t="str">
        <f>IF(Table_MIS_RegionalSalesData[[#This Row],[Achivement(%)]]&gt;=100%,"Met Target","Below Target")</f>
        <v>Below Target</v>
      </c>
    </row>
    <row r="96" spans="1:10" x14ac:dyDescent="0.25">
      <c r="A96" t="s">
        <v>76</v>
      </c>
      <c r="B96" t="s">
        <v>7</v>
      </c>
      <c r="C96" t="s">
        <v>13</v>
      </c>
      <c r="D96">
        <v>165000</v>
      </c>
      <c r="E96">
        <v>155000</v>
      </c>
      <c r="F96" s="1">
        <v>46082</v>
      </c>
      <c r="G96" s="1" t="str">
        <f>TEXT(Table_MIS_RegionalSalesData[[#This Row],[Month]],"MMMM")</f>
        <v>March</v>
      </c>
      <c r="H96" s="3">
        <f>Table_MIS_RegionalSalesData[[#This Row],[Actual Sales(₹)]]/Table_MIS_RegionalSalesData[[#This Row],[Target (₹)]]</f>
        <v>0.93939393939393945</v>
      </c>
      <c r="I96" s="3">
        <f>(Table_MIS_RegionalSalesData[[#This Row],[Actual Sales(₹)]]-Table_MIS_RegionalSalesData[[#This Row],[Target (₹)]])/Table_MIS_RegionalSalesData[[#This Row],[Actual Sales(₹)]]</f>
        <v>-6.4516129032258063E-2</v>
      </c>
      <c r="J96" t="str">
        <f>IF(Table_MIS_RegionalSalesData[[#This Row],[Achivement(%)]]&gt;=100%,"Met Target","Below Target")</f>
        <v>Below Target</v>
      </c>
    </row>
    <row r="97" spans="1:10" x14ac:dyDescent="0.25">
      <c r="A97" t="s">
        <v>19</v>
      </c>
      <c r="B97" t="s">
        <v>20</v>
      </c>
      <c r="C97" t="s">
        <v>11</v>
      </c>
      <c r="D97">
        <v>80000</v>
      </c>
      <c r="E97">
        <v>75000</v>
      </c>
      <c r="F97" s="1">
        <v>46023</v>
      </c>
      <c r="G97" s="1" t="str">
        <f>TEXT(Table_MIS_RegionalSalesData[[#This Row],[Month]],"MMMM")</f>
        <v>January</v>
      </c>
      <c r="H97" s="3">
        <f>Table_MIS_RegionalSalesData[[#This Row],[Actual Sales(₹)]]/Table_MIS_RegionalSalesData[[#This Row],[Target (₹)]]</f>
        <v>0.9375</v>
      </c>
      <c r="I97" s="3">
        <f>(Table_MIS_RegionalSalesData[[#This Row],[Actual Sales(₹)]]-Table_MIS_RegionalSalesData[[#This Row],[Target (₹)]])/Table_MIS_RegionalSalesData[[#This Row],[Actual Sales(₹)]]</f>
        <v>-6.6666666666666666E-2</v>
      </c>
      <c r="J97" t="str">
        <f>IF(Table_MIS_RegionalSalesData[[#This Row],[Achivement(%)]]&gt;=100%,"Met Target","Below Target")</f>
        <v>Below Target</v>
      </c>
    </row>
    <row r="98" spans="1:10" x14ac:dyDescent="0.25">
      <c r="A98" t="s">
        <v>31</v>
      </c>
      <c r="B98" t="s">
        <v>26</v>
      </c>
      <c r="C98" t="s">
        <v>13</v>
      </c>
      <c r="D98">
        <v>130000</v>
      </c>
      <c r="E98">
        <v>120000</v>
      </c>
      <c r="F98" s="1">
        <v>46023</v>
      </c>
      <c r="G98" s="1" t="str">
        <f>TEXT(Table_MIS_RegionalSalesData[[#This Row],[Month]],"MMMM")</f>
        <v>January</v>
      </c>
      <c r="H98" s="3">
        <f>Table_MIS_RegionalSalesData[[#This Row],[Actual Sales(₹)]]/Table_MIS_RegionalSalesData[[#This Row],[Target (₹)]]</f>
        <v>0.92307692307692313</v>
      </c>
      <c r="I98" s="3">
        <f>(Table_MIS_RegionalSalesData[[#This Row],[Actual Sales(₹)]]-Table_MIS_RegionalSalesData[[#This Row],[Target (₹)]])/Table_MIS_RegionalSalesData[[#This Row],[Actual Sales(₹)]]</f>
        <v>-8.3333333333333329E-2</v>
      </c>
      <c r="J98" t="str">
        <f>IF(Table_MIS_RegionalSalesData[[#This Row],[Achivement(%)]]&gt;=100%,"Met Target","Below Target")</f>
        <v>Below Target</v>
      </c>
    </row>
    <row r="99" spans="1:10" x14ac:dyDescent="0.25">
      <c r="A99" t="s">
        <v>40</v>
      </c>
      <c r="B99" t="s">
        <v>15</v>
      </c>
      <c r="C99" t="s">
        <v>8</v>
      </c>
      <c r="D99">
        <v>105000</v>
      </c>
      <c r="E99">
        <v>95000</v>
      </c>
      <c r="F99" s="1">
        <v>46054</v>
      </c>
      <c r="G99" s="1" t="str">
        <f>TEXT(Table_MIS_RegionalSalesData[[#This Row],[Month]],"MMMM")</f>
        <v>February</v>
      </c>
      <c r="H99" s="3">
        <f>Table_MIS_RegionalSalesData[[#This Row],[Actual Sales(₹)]]/Table_MIS_RegionalSalesData[[#This Row],[Target (₹)]]</f>
        <v>0.90476190476190477</v>
      </c>
      <c r="I99" s="3">
        <f>(Table_MIS_RegionalSalesData[[#This Row],[Actual Sales(₹)]]-Table_MIS_RegionalSalesData[[#This Row],[Target (₹)]])/Table_MIS_RegionalSalesData[[#This Row],[Actual Sales(₹)]]</f>
        <v>-0.10526315789473684</v>
      </c>
      <c r="J99" t="str">
        <f>IF(Table_MIS_RegionalSalesData[[#This Row],[Achivement(%)]]&gt;=100%,"Met Target","Below Target")</f>
        <v>Below Target</v>
      </c>
    </row>
    <row r="100" spans="1:10" x14ac:dyDescent="0.25">
      <c r="A100" t="s">
        <v>12</v>
      </c>
      <c r="B100" t="s">
        <v>7</v>
      </c>
      <c r="C100" t="s">
        <v>13</v>
      </c>
      <c r="D100">
        <v>150000</v>
      </c>
      <c r="E100">
        <v>130000</v>
      </c>
      <c r="F100" s="1">
        <v>46023</v>
      </c>
      <c r="G100" s="1" t="str">
        <f>TEXT(Table_MIS_RegionalSalesData[[#This Row],[Month]],"MMMM")</f>
        <v>January</v>
      </c>
      <c r="H100" s="3">
        <f>Table_MIS_RegionalSalesData[[#This Row],[Actual Sales(₹)]]/Table_MIS_RegionalSalesData[[#This Row],[Target (₹)]]</f>
        <v>0.8666666666666667</v>
      </c>
      <c r="I100" s="3">
        <f>(Table_MIS_RegionalSalesData[[#This Row],[Actual Sales(₹)]]-Table_MIS_RegionalSalesData[[#This Row],[Target (₹)]])/Table_MIS_RegionalSalesData[[#This Row],[Actual Sales(₹)]]</f>
        <v>-0.15384615384615385</v>
      </c>
      <c r="J100" t="str">
        <f>IF(Table_MIS_RegionalSalesData[[#This Row],[Achivement(%)]]&gt;=100%,"Met Target","Below Target")</f>
        <v>Below Target</v>
      </c>
    </row>
  </sheetData>
  <conditionalFormatting sqref="J2:J100">
    <cfRule type="containsText" dxfId="16" priority="4" operator="containsText" text="Below">
      <formula>NOT(ISERROR(SEARCH("Below",J2)))</formula>
    </cfRule>
    <cfRule type="containsText" dxfId="15" priority="5" operator="containsText" text="Met">
      <formula>NOT(ISERROR(SEARCH("Met",J2)))</formula>
    </cfRule>
  </conditionalFormatting>
  <conditionalFormatting sqref="H2:H100">
    <cfRule type="top10" dxfId="14" priority="2" rank="1"/>
    <cfRule type="top10" dxfId="13" priority="3" rank="1"/>
  </conditionalFormatting>
  <conditionalFormatting sqref="I2:I100">
    <cfRule type="top10" dxfId="12" priority="1" rank="1"/>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3A1A7-AE7E-4CFB-A268-4D4E1EB22CC2}">
  <dimension ref="A2:K169"/>
  <sheetViews>
    <sheetView tabSelected="1" topLeftCell="A15" workbookViewId="0">
      <selection activeCell="A16" sqref="A16:B20"/>
    </sheetView>
  </sheetViews>
  <sheetFormatPr defaultRowHeight="15" x14ac:dyDescent="0.25"/>
  <cols>
    <col min="1" max="1" width="16.28515625" bestFit="1" customWidth="1"/>
    <col min="2" max="2" width="21.7109375" bestFit="1" customWidth="1"/>
    <col min="3" max="3" width="13.140625" bestFit="1" customWidth="1"/>
    <col min="4" max="4" width="13.85546875" bestFit="1" customWidth="1"/>
    <col min="5" max="5" width="21.42578125" bestFit="1" customWidth="1"/>
    <col min="6" max="6" width="21.7109375" bestFit="1" customWidth="1"/>
    <col min="7" max="7" width="21.42578125" bestFit="1" customWidth="1"/>
    <col min="8" max="8" width="15.7109375" bestFit="1" customWidth="1"/>
    <col min="9" max="9" width="10.7109375" bestFit="1" customWidth="1"/>
    <col min="10" max="10" width="18.85546875" bestFit="1" customWidth="1"/>
    <col min="11" max="11" width="11.28515625" bestFit="1" customWidth="1"/>
    <col min="12" max="12" width="5.5703125" bestFit="1" customWidth="1"/>
    <col min="13" max="13" width="18.140625" bestFit="1" customWidth="1"/>
    <col min="14" max="14" width="15.7109375" bestFit="1" customWidth="1"/>
    <col min="15" max="15" width="8.85546875" bestFit="1" customWidth="1"/>
    <col min="16" max="16" width="6.5703125" bestFit="1" customWidth="1"/>
    <col min="17" max="18" width="5.5703125" bestFit="1" customWidth="1"/>
    <col min="19" max="19" width="18.85546875" bestFit="1" customWidth="1"/>
    <col min="20" max="20" width="13.85546875" bestFit="1" customWidth="1"/>
    <col min="21" max="21" width="9.7109375" bestFit="1" customWidth="1"/>
    <col min="22" max="34" width="7" bestFit="1" customWidth="1"/>
    <col min="35" max="35" width="18.140625" bestFit="1" customWidth="1"/>
    <col min="36" max="36" width="15.7109375" bestFit="1" customWidth="1"/>
    <col min="37" max="50" width="6" bestFit="1" customWidth="1"/>
    <col min="51" max="51" width="7" bestFit="1" customWidth="1"/>
    <col min="52" max="52" width="18.85546875" bestFit="1" customWidth="1"/>
    <col min="53" max="53" width="11.28515625" bestFit="1" customWidth="1"/>
  </cols>
  <sheetData>
    <row r="2" spans="1:2" x14ac:dyDescent="0.25">
      <c r="A2" s="13" t="s">
        <v>150</v>
      </c>
      <c r="B2" s="13"/>
    </row>
    <row r="3" spans="1:2" x14ac:dyDescent="0.25">
      <c r="A3" s="4" t="s">
        <v>122</v>
      </c>
      <c r="B3" t="s">
        <v>121</v>
      </c>
    </row>
    <row r="4" spans="1:2" x14ac:dyDescent="0.25">
      <c r="A4" s="5" t="s">
        <v>15</v>
      </c>
      <c r="B4">
        <v>1519000</v>
      </c>
    </row>
    <row r="5" spans="1:2" x14ac:dyDescent="0.25">
      <c r="A5" s="5" t="s">
        <v>39</v>
      </c>
      <c r="B5">
        <v>150000</v>
      </c>
    </row>
    <row r="6" spans="1:2" x14ac:dyDescent="0.25">
      <c r="A6" s="5" t="s">
        <v>10</v>
      </c>
      <c r="B6">
        <v>1800000</v>
      </c>
    </row>
    <row r="7" spans="1:2" x14ac:dyDescent="0.25">
      <c r="A7" s="5" t="s">
        <v>42</v>
      </c>
      <c r="B7">
        <v>85000</v>
      </c>
    </row>
    <row r="8" spans="1:2" x14ac:dyDescent="0.25">
      <c r="A8" s="5" t="s">
        <v>17</v>
      </c>
      <c r="B8">
        <v>1762000</v>
      </c>
    </row>
    <row r="9" spans="1:2" x14ac:dyDescent="0.25">
      <c r="A9" s="5" t="s">
        <v>24</v>
      </c>
      <c r="B9">
        <v>929000</v>
      </c>
    </row>
    <row r="10" spans="1:2" x14ac:dyDescent="0.25">
      <c r="A10" s="5" t="s">
        <v>7</v>
      </c>
      <c r="B10">
        <v>5103000</v>
      </c>
    </row>
    <row r="11" spans="1:2" x14ac:dyDescent="0.25">
      <c r="A11" s="5" t="s">
        <v>22</v>
      </c>
      <c r="B11">
        <v>618000</v>
      </c>
    </row>
    <row r="12" spans="1:2" x14ac:dyDescent="0.25">
      <c r="A12" s="5" t="s">
        <v>26</v>
      </c>
      <c r="B12">
        <v>355000</v>
      </c>
    </row>
    <row r="13" spans="1:2" x14ac:dyDescent="0.25">
      <c r="A13" s="5" t="s">
        <v>20</v>
      </c>
      <c r="B13">
        <v>166000</v>
      </c>
    </row>
    <row r="16" spans="1:2" x14ac:dyDescent="0.25">
      <c r="A16" s="13" t="s">
        <v>149</v>
      </c>
      <c r="B16" s="13"/>
    </row>
    <row r="17" spans="1:4" x14ac:dyDescent="0.25">
      <c r="A17" s="4" t="s">
        <v>123</v>
      </c>
      <c r="B17" t="s">
        <v>121</v>
      </c>
    </row>
    <row r="18" spans="1:4" x14ac:dyDescent="0.25">
      <c r="A18" s="5" t="s">
        <v>13</v>
      </c>
      <c r="B18">
        <v>4908000</v>
      </c>
    </row>
    <row r="19" spans="1:4" x14ac:dyDescent="0.25">
      <c r="A19" s="5" t="s">
        <v>8</v>
      </c>
      <c r="B19">
        <v>4595000</v>
      </c>
    </row>
    <row r="20" spans="1:4" x14ac:dyDescent="0.25">
      <c r="A20" s="5" t="s">
        <v>11</v>
      </c>
      <c r="B20">
        <v>2984000</v>
      </c>
    </row>
    <row r="23" spans="1:4" x14ac:dyDescent="0.25">
      <c r="A23" s="13" t="s">
        <v>145</v>
      </c>
      <c r="B23" s="13"/>
      <c r="C23" s="13"/>
    </row>
    <row r="24" spans="1:4" x14ac:dyDescent="0.25">
      <c r="A24" s="4" t="s">
        <v>121</v>
      </c>
      <c r="B24" s="4" t="s">
        <v>123</v>
      </c>
    </row>
    <row r="25" spans="1:4" x14ac:dyDescent="0.25">
      <c r="A25" s="4" t="s">
        <v>122</v>
      </c>
      <c r="B25" t="s">
        <v>13</v>
      </c>
      <c r="C25" t="s">
        <v>8</v>
      </c>
      <c r="D25" t="s">
        <v>11</v>
      </c>
    </row>
    <row r="26" spans="1:4" x14ac:dyDescent="0.25">
      <c r="A26" s="5" t="s">
        <v>15</v>
      </c>
      <c r="B26">
        <v>810000</v>
      </c>
      <c r="C26">
        <v>95000</v>
      </c>
      <c r="D26">
        <v>614000</v>
      </c>
    </row>
    <row r="27" spans="1:4" x14ac:dyDescent="0.25">
      <c r="A27" s="5" t="s">
        <v>39</v>
      </c>
      <c r="B27">
        <v>150000</v>
      </c>
    </row>
    <row r="28" spans="1:4" x14ac:dyDescent="0.25">
      <c r="A28" s="5" t="s">
        <v>10</v>
      </c>
      <c r="B28">
        <v>1550000</v>
      </c>
      <c r="D28">
        <v>250000</v>
      </c>
    </row>
    <row r="29" spans="1:4" x14ac:dyDescent="0.25">
      <c r="A29" s="5" t="s">
        <v>42</v>
      </c>
      <c r="D29">
        <v>85000</v>
      </c>
    </row>
    <row r="30" spans="1:4" x14ac:dyDescent="0.25">
      <c r="A30" s="5" t="s">
        <v>17</v>
      </c>
      <c r="B30">
        <v>350000</v>
      </c>
      <c r="C30">
        <v>1135000</v>
      </c>
      <c r="D30">
        <v>277000</v>
      </c>
    </row>
    <row r="31" spans="1:4" x14ac:dyDescent="0.25">
      <c r="A31" s="5" t="s">
        <v>24</v>
      </c>
      <c r="B31">
        <v>273000</v>
      </c>
      <c r="C31">
        <v>395000</v>
      </c>
      <c r="D31">
        <v>261000</v>
      </c>
    </row>
    <row r="32" spans="1:4" x14ac:dyDescent="0.25">
      <c r="A32" s="5" t="s">
        <v>7</v>
      </c>
      <c r="B32">
        <v>1105000</v>
      </c>
      <c r="C32">
        <v>2845000</v>
      </c>
      <c r="D32">
        <v>1153000</v>
      </c>
    </row>
    <row r="33" spans="1:4" x14ac:dyDescent="0.25">
      <c r="A33" s="5" t="s">
        <v>22</v>
      </c>
      <c r="B33">
        <v>410000</v>
      </c>
      <c r="C33">
        <v>125000</v>
      </c>
      <c r="D33">
        <v>83000</v>
      </c>
    </row>
    <row r="34" spans="1:4" x14ac:dyDescent="0.25">
      <c r="A34" s="5" t="s">
        <v>26</v>
      </c>
      <c r="B34">
        <v>260000</v>
      </c>
      <c r="D34">
        <v>95000</v>
      </c>
    </row>
    <row r="35" spans="1:4" x14ac:dyDescent="0.25">
      <c r="A35" s="5" t="s">
        <v>20</v>
      </c>
      <c r="D35">
        <v>166000</v>
      </c>
    </row>
    <row r="38" spans="1:4" x14ac:dyDescent="0.25">
      <c r="A38" s="13" t="s">
        <v>138</v>
      </c>
      <c r="B38" s="13"/>
    </row>
    <row r="39" spans="1:4" x14ac:dyDescent="0.25">
      <c r="A39" s="4" t="s">
        <v>128</v>
      </c>
      <c r="B39" s="4" t="s">
        <v>129</v>
      </c>
    </row>
    <row r="40" spans="1:4" x14ac:dyDescent="0.25">
      <c r="A40" s="4" t="s">
        <v>130</v>
      </c>
      <c r="B40" t="s">
        <v>126</v>
      </c>
      <c r="C40" t="s">
        <v>127</v>
      </c>
      <c r="D40" t="s">
        <v>120</v>
      </c>
    </row>
    <row r="41" spans="1:4" x14ac:dyDescent="0.25">
      <c r="A41" s="5" t="s">
        <v>132</v>
      </c>
      <c r="B41">
        <v>10</v>
      </c>
      <c r="C41">
        <v>10</v>
      </c>
      <c r="D41">
        <v>20</v>
      </c>
    </row>
    <row r="42" spans="1:4" x14ac:dyDescent="0.25">
      <c r="A42" s="5" t="s">
        <v>160</v>
      </c>
      <c r="B42">
        <v>8</v>
      </c>
      <c r="C42">
        <v>12</v>
      </c>
      <c r="D42">
        <v>20</v>
      </c>
    </row>
    <row r="43" spans="1:4" x14ac:dyDescent="0.25">
      <c r="A43" s="5" t="s">
        <v>161</v>
      </c>
      <c r="B43">
        <v>8</v>
      </c>
      <c r="C43">
        <v>12</v>
      </c>
      <c r="D43">
        <v>20</v>
      </c>
    </row>
    <row r="44" spans="1:4" x14ac:dyDescent="0.25">
      <c r="A44" s="5" t="s">
        <v>162</v>
      </c>
      <c r="B44">
        <v>8</v>
      </c>
      <c r="C44">
        <v>12</v>
      </c>
      <c r="D44">
        <v>20</v>
      </c>
    </row>
    <row r="45" spans="1:4" x14ac:dyDescent="0.25">
      <c r="A45" s="5" t="s">
        <v>163</v>
      </c>
      <c r="B45">
        <v>7</v>
      </c>
      <c r="C45">
        <v>12</v>
      </c>
      <c r="D45">
        <v>19</v>
      </c>
    </row>
    <row r="46" spans="1:4" x14ac:dyDescent="0.25">
      <c r="A46" s="5" t="s">
        <v>120</v>
      </c>
      <c r="B46">
        <v>41</v>
      </c>
      <c r="C46">
        <v>58</v>
      </c>
      <c r="D46">
        <v>99</v>
      </c>
    </row>
    <row r="49" spans="1:6" x14ac:dyDescent="0.25">
      <c r="A49" s="13" t="s">
        <v>139</v>
      </c>
      <c r="B49" s="13"/>
      <c r="C49" s="13"/>
      <c r="D49" s="13"/>
    </row>
    <row r="50" spans="1:6" x14ac:dyDescent="0.25">
      <c r="A50" s="4" t="s">
        <v>121</v>
      </c>
      <c r="B50" s="4" t="s">
        <v>5</v>
      </c>
    </row>
    <row r="51" spans="1:6" x14ac:dyDescent="0.25">
      <c r="A51" s="4" t="s">
        <v>2</v>
      </c>
      <c r="B51" t="s">
        <v>13</v>
      </c>
      <c r="C51" t="s">
        <v>8</v>
      </c>
      <c r="D51" t="s">
        <v>11</v>
      </c>
      <c r="F51" s="10" t="s">
        <v>151</v>
      </c>
    </row>
    <row r="52" spans="1:6" ht="31.5" customHeight="1" x14ac:dyDescent="0.25">
      <c r="A52" s="5" t="s">
        <v>132</v>
      </c>
      <c r="B52">
        <v>900000</v>
      </c>
      <c r="C52">
        <v>1023000</v>
      </c>
      <c r="D52">
        <v>623000</v>
      </c>
    </row>
    <row r="53" spans="1:6" ht="22.5" customHeight="1" x14ac:dyDescent="0.25">
      <c r="A53" s="5" t="s">
        <v>160</v>
      </c>
      <c r="B53">
        <v>1083000</v>
      </c>
      <c r="C53">
        <v>770000</v>
      </c>
      <c r="D53">
        <v>613000</v>
      </c>
    </row>
    <row r="54" spans="1:6" ht="27" customHeight="1" x14ac:dyDescent="0.25">
      <c r="A54" s="5" t="s">
        <v>161</v>
      </c>
      <c r="B54">
        <v>920000</v>
      </c>
      <c r="C54">
        <v>1015000</v>
      </c>
      <c r="D54">
        <v>607000</v>
      </c>
    </row>
    <row r="55" spans="1:6" ht="24.75" customHeight="1" x14ac:dyDescent="0.25">
      <c r="A55" s="5" t="s">
        <v>162</v>
      </c>
      <c r="B55">
        <v>1080000</v>
      </c>
      <c r="C55">
        <v>977000</v>
      </c>
      <c r="D55">
        <v>523000</v>
      </c>
    </row>
    <row r="56" spans="1:6" ht="32.25" customHeight="1" x14ac:dyDescent="0.25">
      <c r="A56" s="5" t="s">
        <v>163</v>
      </c>
      <c r="B56">
        <v>925000</v>
      </c>
      <c r="C56">
        <v>810000</v>
      </c>
      <c r="D56">
        <v>618000</v>
      </c>
    </row>
    <row r="59" spans="1:6" x14ac:dyDescent="0.25">
      <c r="A59" s="13" t="s">
        <v>140</v>
      </c>
      <c r="B59" s="13"/>
      <c r="C59" s="13"/>
    </row>
    <row r="60" spans="1:6" x14ac:dyDescent="0.25">
      <c r="A60" s="4" t="s">
        <v>125</v>
      </c>
      <c r="B60" s="4" t="s">
        <v>124</v>
      </c>
    </row>
    <row r="61" spans="1:6" x14ac:dyDescent="0.25">
      <c r="A61" s="4" t="s">
        <v>119</v>
      </c>
      <c r="B61" t="s">
        <v>13</v>
      </c>
      <c r="C61" t="s">
        <v>8</v>
      </c>
      <c r="D61" t="s">
        <v>11</v>
      </c>
      <c r="F61" s="10" t="s">
        <v>151</v>
      </c>
    </row>
    <row r="62" spans="1:6" ht="33.75" customHeight="1" x14ac:dyDescent="0.25">
      <c r="A62" s="5" t="s">
        <v>132</v>
      </c>
      <c r="B62">
        <v>910000</v>
      </c>
      <c r="C62">
        <v>1005000</v>
      </c>
      <c r="D62">
        <v>625000</v>
      </c>
    </row>
    <row r="63" spans="1:6" ht="27.75" customHeight="1" x14ac:dyDescent="0.25">
      <c r="A63" s="5" t="s">
        <v>160</v>
      </c>
      <c r="B63">
        <v>1065000</v>
      </c>
      <c r="C63">
        <v>780000</v>
      </c>
      <c r="D63">
        <v>610000</v>
      </c>
    </row>
    <row r="64" spans="1:6" ht="27.75" customHeight="1" x14ac:dyDescent="0.25">
      <c r="A64" s="5" t="s">
        <v>161</v>
      </c>
      <c r="B64">
        <v>910000</v>
      </c>
      <c r="C64">
        <v>1000000</v>
      </c>
      <c r="D64">
        <v>610000</v>
      </c>
    </row>
    <row r="65" spans="1:4" ht="29.25" customHeight="1" x14ac:dyDescent="0.25">
      <c r="A65" s="5" t="s">
        <v>162</v>
      </c>
      <c r="B65">
        <v>1050000</v>
      </c>
      <c r="C65">
        <v>975000</v>
      </c>
      <c r="D65">
        <v>522000</v>
      </c>
    </row>
    <row r="66" spans="1:4" ht="43.5" customHeight="1" x14ac:dyDescent="0.25">
      <c r="A66" s="5" t="s">
        <v>163</v>
      </c>
      <c r="B66">
        <v>910000</v>
      </c>
      <c r="C66">
        <v>795000</v>
      </c>
      <c r="D66">
        <v>617000</v>
      </c>
    </row>
    <row r="69" spans="1:4" x14ac:dyDescent="0.25">
      <c r="A69" s="13" t="s">
        <v>141</v>
      </c>
      <c r="B69" s="13"/>
      <c r="C69" s="13"/>
      <c r="D69" s="13"/>
    </row>
    <row r="70" spans="1:4" x14ac:dyDescent="0.25">
      <c r="A70" s="4" t="s">
        <v>133</v>
      </c>
      <c r="B70" s="4" t="s">
        <v>123</v>
      </c>
    </row>
    <row r="71" spans="1:4" x14ac:dyDescent="0.25">
      <c r="A71" s="4" t="s">
        <v>134</v>
      </c>
      <c r="B71" t="s">
        <v>13</v>
      </c>
      <c r="C71" t="s">
        <v>8</v>
      </c>
      <c r="D71" t="s">
        <v>11</v>
      </c>
    </row>
    <row r="72" spans="1:4" x14ac:dyDescent="0.25">
      <c r="A72" s="5" t="s">
        <v>132</v>
      </c>
      <c r="B72" s="7">
        <v>-0.134663095189411</v>
      </c>
      <c r="C72" s="7">
        <v>0.10270088093457656</v>
      </c>
      <c r="D72" s="7">
        <v>-5.3295180948633641E-2</v>
      </c>
    </row>
    <row r="73" spans="1:4" x14ac:dyDescent="0.25">
      <c r="A73" s="5" t="s">
        <v>160</v>
      </c>
      <c r="B73" s="7">
        <v>9.6381072418972535E-2</v>
      </c>
      <c r="C73" s="7">
        <v>-9.7184642207525498E-2</v>
      </c>
      <c r="D73" s="7">
        <v>2.7404906418003458E-2</v>
      </c>
    </row>
    <row r="74" spans="1:4" x14ac:dyDescent="0.25">
      <c r="A74" s="5" t="s">
        <v>161</v>
      </c>
      <c r="B74" s="7">
        <v>5.4408696142567103E-2</v>
      </c>
      <c r="C74" s="7">
        <v>0.12770773954984482</v>
      </c>
      <c r="D74" s="7">
        <v>-4.2203508199489669E-2</v>
      </c>
    </row>
    <row r="75" spans="1:4" x14ac:dyDescent="0.25">
      <c r="A75" s="5" t="s">
        <v>162</v>
      </c>
      <c r="B75" s="7">
        <v>0.18930737984343293</v>
      </c>
      <c r="C75" s="7">
        <v>-3.3995314280042543E-3</v>
      </c>
      <c r="D75" s="7">
        <v>1.4483292616177392E-2</v>
      </c>
    </row>
    <row r="76" spans="1:4" x14ac:dyDescent="0.25">
      <c r="A76" s="5" t="s">
        <v>163</v>
      </c>
      <c r="B76" s="7">
        <v>8.8881461675579351E-2</v>
      </c>
      <c r="C76" s="7">
        <v>0.12270507693848655</v>
      </c>
      <c r="D76" s="7">
        <v>5.6143274173964669E-3</v>
      </c>
    </row>
    <row r="79" spans="1:4" x14ac:dyDescent="0.25">
      <c r="A79" s="13" t="s">
        <v>143</v>
      </c>
      <c r="B79" s="13"/>
      <c r="C79" s="13"/>
      <c r="D79" s="13"/>
    </row>
    <row r="80" spans="1:4" x14ac:dyDescent="0.25">
      <c r="A80" s="4" t="s">
        <v>142</v>
      </c>
      <c r="B80" s="4" t="s">
        <v>123</v>
      </c>
    </row>
    <row r="81" spans="1:11" x14ac:dyDescent="0.25">
      <c r="A81" s="4" t="s">
        <v>134</v>
      </c>
      <c r="B81" t="s">
        <v>13</v>
      </c>
      <c r="C81" t="s">
        <v>8</v>
      </c>
      <c r="D81" t="s">
        <v>11</v>
      </c>
      <c r="E81" t="s">
        <v>120</v>
      </c>
    </row>
    <row r="82" spans="1:11" x14ac:dyDescent="0.25">
      <c r="A82" s="5" t="s">
        <v>132</v>
      </c>
      <c r="B82">
        <v>6</v>
      </c>
      <c r="C82">
        <v>7</v>
      </c>
      <c r="D82">
        <v>7</v>
      </c>
      <c r="E82">
        <v>20</v>
      </c>
    </row>
    <row r="83" spans="1:11" x14ac:dyDescent="0.25">
      <c r="A83" s="5" t="s">
        <v>160</v>
      </c>
      <c r="B83">
        <v>7</v>
      </c>
      <c r="C83">
        <v>6</v>
      </c>
      <c r="D83">
        <v>7</v>
      </c>
      <c r="E83">
        <v>20</v>
      </c>
    </row>
    <row r="84" spans="1:11" x14ac:dyDescent="0.25">
      <c r="A84" s="5" t="s">
        <v>161</v>
      </c>
      <c r="B84">
        <v>6</v>
      </c>
      <c r="C84">
        <v>7</v>
      </c>
      <c r="D84">
        <v>7</v>
      </c>
      <c r="E84">
        <v>20</v>
      </c>
    </row>
    <row r="85" spans="1:11" x14ac:dyDescent="0.25">
      <c r="A85" s="5" t="s">
        <v>162</v>
      </c>
      <c r="B85">
        <v>7</v>
      </c>
      <c r="C85">
        <v>7</v>
      </c>
      <c r="D85">
        <v>6</v>
      </c>
      <c r="E85">
        <v>20</v>
      </c>
    </row>
    <row r="86" spans="1:11" x14ac:dyDescent="0.25">
      <c r="A86" s="5" t="s">
        <v>163</v>
      </c>
      <c r="B86">
        <v>6</v>
      </c>
      <c r="C86">
        <v>6</v>
      </c>
      <c r="D86">
        <v>7</v>
      </c>
      <c r="E86">
        <v>19</v>
      </c>
    </row>
    <row r="87" spans="1:11" x14ac:dyDescent="0.25">
      <c r="A87" s="5" t="s">
        <v>120</v>
      </c>
      <c r="B87">
        <v>32</v>
      </c>
      <c r="C87">
        <v>33</v>
      </c>
      <c r="D87">
        <v>34</v>
      </c>
      <c r="E87">
        <v>99</v>
      </c>
    </row>
    <row r="90" spans="1:11" x14ac:dyDescent="0.25">
      <c r="A90" s="13" t="s">
        <v>144</v>
      </c>
      <c r="B90" s="13"/>
      <c r="C90" s="13"/>
      <c r="D90" s="13"/>
      <c r="E90" s="14" t="s">
        <v>152</v>
      </c>
      <c r="F90" s="14"/>
    </row>
    <row r="91" spans="1:11" x14ac:dyDescent="0.25">
      <c r="A91" s="4" t="s">
        <v>128</v>
      </c>
      <c r="B91" s="4" t="s">
        <v>135</v>
      </c>
    </row>
    <row r="92" spans="1:11" x14ac:dyDescent="0.25">
      <c r="B92" t="s">
        <v>13</v>
      </c>
      <c r="D92" t="s">
        <v>146</v>
      </c>
      <c r="E92" t="s">
        <v>8</v>
      </c>
      <c r="G92" t="s">
        <v>147</v>
      </c>
      <c r="H92" t="s">
        <v>11</v>
      </c>
      <c r="J92" t="s">
        <v>148</v>
      </c>
      <c r="K92" t="s">
        <v>120</v>
      </c>
    </row>
    <row r="93" spans="1:11" x14ac:dyDescent="0.25">
      <c r="A93" s="4" t="s">
        <v>5</v>
      </c>
      <c r="B93" t="s">
        <v>126</v>
      </c>
      <c r="C93" t="s">
        <v>127</v>
      </c>
      <c r="E93" t="s">
        <v>126</v>
      </c>
      <c r="F93" t="s">
        <v>127</v>
      </c>
      <c r="H93" t="s">
        <v>126</v>
      </c>
      <c r="I93" t="s">
        <v>127</v>
      </c>
    </row>
    <row r="94" spans="1:11" x14ac:dyDescent="0.25">
      <c r="A94" s="5" t="s">
        <v>132</v>
      </c>
      <c r="B94" s="7">
        <v>3.0303030303030304E-2</v>
      </c>
      <c r="C94" s="7">
        <v>3.0303030303030304E-2</v>
      </c>
      <c r="D94" s="7">
        <v>6.0606060606060608E-2</v>
      </c>
      <c r="E94" s="7">
        <v>4.0404040404040407E-2</v>
      </c>
      <c r="F94" s="7">
        <v>3.0303030303030304E-2</v>
      </c>
      <c r="G94" s="7">
        <v>7.0707070707070704E-2</v>
      </c>
      <c r="H94" s="7">
        <v>3.0303030303030304E-2</v>
      </c>
      <c r="I94" s="7">
        <v>4.0404040404040407E-2</v>
      </c>
      <c r="J94" s="7">
        <v>7.0707070707070704E-2</v>
      </c>
      <c r="K94" s="7">
        <v>0.20202020202020202</v>
      </c>
    </row>
    <row r="95" spans="1:11" x14ac:dyDescent="0.25">
      <c r="A95" s="5" t="s">
        <v>160</v>
      </c>
      <c r="B95" s="7">
        <v>3.0303030303030304E-2</v>
      </c>
      <c r="C95" s="7">
        <v>4.0404040404040407E-2</v>
      </c>
      <c r="D95" s="7">
        <v>7.0707070707070704E-2</v>
      </c>
      <c r="E95" s="7">
        <v>3.0303030303030304E-2</v>
      </c>
      <c r="F95" s="7">
        <v>3.0303030303030304E-2</v>
      </c>
      <c r="G95" s="7">
        <v>6.0606060606060608E-2</v>
      </c>
      <c r="H95" s="7">
        <v>2.0202020202020204E-2</v>
      </c>
      <c r="I95" s="7">
        <v>5.0505050505050504E-2</v>
      </c>
      <c r="J95" s="7">
        <v>7.0707070707070704E-2</v>
      </c>
      <c r="K95" s="7">
        <v>0.20202020202020202</v>
      </c>
    </row>
    <row r="96" spans="1:11" x14ac:dyDescent="0.25">
      <c r="A96" s="5" t="s">
        <v>161</v>
      </c>
      <c r="B96" s="7">
        <v>2.0202020202020204E-2</v>
      </c>
      <c r="C96" s="7">
        <v>4.0404040404040407E-2</v>
      </c>
      <c r="D96" s="7">
        <v>6.0606060606060608E-2</v>
      </c>
      <c r="E96" s="7">
        <v>2.0202020202020204E-2</v>
      </c>
      <c r="F96" s="7">
        <v>5.0505050505050504E-2</v>
      </c>
      <c r="G96" s="7">
        <v>7.0707070707070704E-2</v>
      </c>
      <c r="H96" s="7">
        <v>4.0404040404040407E-2</v>
      </c>
      <c r="I96" s="7">
        <v>3.0303030303030304E-2</v>
      </c>
      <c r="J96" s="7">
        <v>7.0707070707070704E-2</v>
      </c>
      <c r="K96" s="7">
        <v>0.20202020202020202</v>
      </c>
    </row>
    <row r="97" spans="1:11" x14ac:dyDescent="0.25">
      <c r="A97" s="5" t="s">
        <v>162</v>
      </c>
      <c r="B97" s="7">
        <v>2.0202020202020204E-2</v>
      </c>
      <c r="C97" s="7">
        <v>5.0505050505050504E-2</v>
      </c>
      <c r="D97" s="7">
        <v>7.0707070707070704E-2</v>
      </c>
      <c r="E97" s="7">
        <v>4.0404040404040407E-2</v>
      </c>
      <c r="F97" s="7">
        <v>3.0303030303030304E-2</v>
      </c>
      <c r="G97" s="7">
        <v>7.0707070707070704E-2</v>
      </c>
      <c r="H97" s="7">
        <v>2.0202020202020204E-2</v>
      </c>
      <c r="I97" s="7">
        <v>4.0404040404040407E-2</v>
      </c>
      <c r="J97" s="7">
        <v>6.0606060606060608E-2</v>
      </c>
      <c r="K97" s="7">
        <v>0.20202020202020202</v>
      </c>
    </row>
    <row r="98" spans="1:11" x14ac:dyDescent="0.25">
      <c r="A98" s="5" t="s">
        <v>163</v>
      </c>
      <c r="B98" s="7">
        <v>2.0202020202020204E-2</v>
      </c>
      <c r="C98" s="7">
        <v>4.0404040404040407E-2</v>
      </c>
      <c r="D98" s="7">
        <v>6.0606060606060608E-2</v>
      </c>
      <c r="E98" s="7">
        <v>2.0202020202020204E-2</v>
      </c>
      <c r="F98" s="7">
        <v>4.0404040404040407E-2</v>
      </c>
      <c r="G98" s="7">
        <v>6.0606060606060608E-2</v>
      </c>
      <c r="H98" s="7">
        <v>3.0303030303030304E-2</v>
      </c>
      <c r="I98" s="7">
        <v>4.0404040404040407E-2</v>
      </c>
      <c r="J98" s="7">
        <v>7.0707070707070704E-2</v>
      </c>
      <c r="K98" s="7">
        <v>0.19191919191919191</v>
      </c>
    </row>
    <row r="99" spans="1:11" x14ac:dyDescent="0.25">
      <c r="A99" s="5" t="s">
        <v>120</v>
      </c>
      <c r="B99" s="7">
        <v>0.12121212121212122</v>
      </c>
      <c r="C99" s="7">
        <v>0.20202020202020202</v>
      </c>
      <c r="D99" s="7">
        <v>0.32323232323232326</v>
      </c>
      <c r="E99" s="7">
        <v>0.15151515151515152</v>
      </c>
      <c r="F99" s="7">
        <v>0.18181818181818182</v>
      </c>
      <c r="G99" s="7">
        <v>0.33333333333333331</v>
      </c>
      <c r="H99" s="7">
        <v>0.14141414141414141</v>
      </c>
      <c r="I99" s="7">
        <v>0.20202020202020202</v>
      </c>
      <c r="J99" s="7">
        <v>0.34343434343434343</v>
      </c>
      <c r="K99" s="7">
        <v>1</v>
      </c>
    </row>
    <row r="101" spans="1:11" x14ac:dyDescent="0.25">
      <c r="A101" s="13" t="s">
        <v>155</v>
      </c>
      <c r="B101" s="13"/>
      <c r="C101" s="13"/>
      <c r="D101" s="13"/>
    </row>
    <row r="102" spans="1:11" x14ac:dyDescent="0.25">
      <c r="B102" s="4" t="s">
        <v>136</v>
      </c>
    </row>
    <row r="103" spans="1:11" x14ac:dyDescent="0.25">
      <c r="B103" t="s">
        <v>126</v>
      </c>
      <c r="D103" t="s">
        <v>127</v>
      </c>
      <c r="F103" t="s">
        <v>153</v>
      </c>
      <c r="G103" t="s">
        <v>154</v>
      </c>
    </row>
    <row r="104" spans="1:11" x14ac:dyDescent="0.25">
      <c r="A104" s="4" t="s">
        <v>5</v>
      </c>
      <c r="B104" t="s">
        <v>137</v>
      </c>
      <c r="C104" t="s">
        <v>128</v>
      </c>
      <c r="D104" t="s">
        <v>137</v>
      </c>
      <c r="E104" t="s">
        <v>128</v>
      </c>
    </row>
    <row r="105" spans="1:11" x14ac:dyDescent="0.25">
      <c r="A105" s="5" t="s">
        <v>13</v>
      </c>
      <c r="B105" s="7">
        <v>0.375</v>
      </c>
      <c r="C105">
        <v>12</v>
      </c>
      <c r="D105" s="7">
        <v>0.625</v>
      </c>
      <c r="E105">
        <v>20</v>
      </c>
      <c r="F105" s="7">
        <v>1</v>
      </c>
      <c r="G105">
        <v>32</v>
      </c>
    </row>
    <row r="106" spans="1:11" x14ac:dyDescent="0.25">
      <c r="A106" s="5" t="s">
        <v>8</v>
      </c>
      <c r="B106" s="7">
        <v>0.45454545454545453</v>
      </c>
      <c r="C106">
        <v>15</v>
      </c>
      <c r="D106" s="7">
        <v>0.54545454545454541</v>
      </c>
      <c r="E106">
        <v>18</v>
      </c>
      <c r="F106" s="7">
        <v>1</v>
      </c>
      <c r="G106">
        <v>33</v>
      </c>
    </row>
    <row r="107" spans="1:11" x14ac:dyDescent="0.25">
      <c r="A107" s="5" t="s">
        <v>11</v>
      </c>
      <c r="B107" s="7">
        <v>0.41176470588235292</v>
      </c>
      <c r="C107">
        <v>14</v>
      </c>
      <c r="D107" s="7">
        <v>0.58823529411764708</v>
      </c>
      <c r="E107">
        <v>20</v>
      </c>
      <c r="F107" s="7">
        <v>1</v>
      </c>
      <c r="G107">
        <v>34</v>
      </c>
    </row>
    <row r="108" spans="1:11" x14ac:dyDescent="0.25">
      <c r="A108" s="5" t="s">
        <v>120</v>
      </c>
      <c r="B108" s="7">
        <v>0.41414141414141414</v>
      </c>
      <c r="C108">
        <v>41</v>
      </c>
      <c r="D108" s="7">
        <v>0.58585858585858586</v>
      </c>
      <c r="E108">
        <v>58</v>
      </c>
      <c r="F108" s="7">
        <v>1</v>
      </c>
      <c r="G108">
        <v>99</v>
      </c>
    </row>
    <row r="114" spans="1:10" x14ac:dyDescent="0.25">
      <c r="A114" s="13" t="s">
        <v>165</v>
      </c>
      <c r="B114" s="13"/>
      <c r="C114" s="13"/>
      <c r="D114" s="13"/>
      <c r="J114" t="s">
        <v>156</v>
      </c>
    </row>
    <row r="115" spans="1:10" x14ac:dyDescent="0.25">
      <c r="B115" s="4" t="s">
        <v>123</v>
      </c>
      <c r="J115">
        <f>SUM(Table_MIS_RegionalSalesData[Actual Sales(₹)])</f>
        <v>12487000</v>
      </c>
    </row>
    <row r="116" spans="1:10" x14ac:dyDescent="0.25">
      <c r="B116" t="s">
        <v>13</v>
      </c>
      <c r="D116" t="s">
        <v>8</v>
      </c>
      <c r="F116" t="s">
        <v>11</v>
      </c>
    </row>
    <row r="117" spans="1:10" x14ac:dyDescent="0.25">
      <c r="A117" s="4" t="s">
        <v>1</v>
      </c>
      <c r="B117" t="s">
        <v>164</v>
      </c>
      <c r="C117" t="s">
        <v>166</v>
      </c>
      <c r="D117" t="s">
        <v>164</v>
      </c>
      <c r="E117" t="s">
        <v>166</v>
      </c>
      <c r="F117" t="s">
        <v>164</v>
      </c>
      <c r="G117" t="s">
        <v>166</v>
      </c>
      <c r="J117" t="s">
        <v>157</v>
      </c>
    </row>
    <row r="118" spans="1:10" x14ac:dyDescent="0.25">
      <c r="A118" s="5" t="s">
        <v>15</v>
      </c>
      <c r="B118" s="6">
        <v>1.0666666666666667</v>
      </c>
      <c r="C118" s="6">
        <v>1.032258064516129</v>
      </c>
      <c r="D118" s="6">
        <v>0.90476190476190477</v>
      </c>
      <c r="E118" s="6">
        <v>0.90476190476190477</v>
      </c>
      <c r="F118" s="6">
        <v>1.0555555555555556</v>
      </c>
      <c r="G118" s="6">
        <v>0.94444444444444442</v>
      </c>
      <c r="J118">
        <f>COUNTA(Table_MIS_RegionalSalesData[Agent Name])</f>
        <v>99</v>
      </c>
    </row>
    <row r="119" spans="1:10" x14ac:dyDescent="0.25">
      <c r="A119" s="5" t="s">
        <v>39</v>
      </c>
      <c r="B119" s="6">
        <v>1.0344827586206897</v>
      </c>
      <c r="C119" s="6">
        <v>1.0344827586206897</v>
      </c>
      <c r="D119" s="6"/>
      <c r="E119" s="6"/>
      <c r="F119" s="6"/>
      <c r="G119" s="6"/>
    </row>
    <row r="120" spans="1:10" ht="15.75" x14ac:dyDescent="0.25">
      <c r="A120" s="5" t="s">
        <v>10</v>
      </c>
      <c r="B120" s="6">
        <v>1.096774193548387</v>
      </c>
      <c r="C120" s="6">
        <v>0.96551724137931039</v>
      </c>
      <c r="D120" s="6"/>
      <c r="E120" s="6"/>
      <c r="F120" s="6">
        <v>1.0823529411764705</v>
      </c>
      <c r="G120" s="6">
        <v>0.94117647058823528</v>
      </c>
      <c r="J120" s="11" t="s">
        <v>158</v>
      </c>
    </row>
    <row r="121" spans="1:10" x14ac:dyDescent="0.25">
      <c r="A121" s="5" t="s">
        <v>42</v>
      </c>
      <c r="B121" s="6"/>
      <c r="C121" s="6"/>
      <c r="D121" s="6"/>
      <c r="E121" s="6"/>
      <c r="F121" s="6">
        <v>1.0365853658536586</v>
      </c>
      <c r="G121" s="6">
        <v>1.0365853658536586</v>
      </c>
      <c r="J121" s="2">
        <f>AVERAGE(COUNTIF(Table_MIS_RegionalSalesData[Status],"Met Target"))/100</f>
        <v>0.57999999999999996</v>
      </c>
    </row>
    <row r="122" spans="1:10" x14ac:dyDescent="0.25">
      <c r="A122" s="5" t="s">
        <v>17</v>
      </c>
      <c r="B122" s="6">
        <v>1.0857142857142856</v>
      </c>
      <c r="C122" s="6">
        <v>0.96969696969696972</v>
      </c>
      <c r="D122" s="6">
        <v>1.05</v>
      </c>
      <c r="E122" s="6">
        <v>0.97222222222222221</v>
      </c>
      <c r="F122" s="6">
        <v>1</v>
      </c>
      <c r="G122" s="6">
        <v>0.96842105263157896</v>
      </c>
    </row>
    <row r="123" spans="1:10" x14ac:dyDescent="0.25">
      <c r="A123" s="5" t="s">
        <v>24</v>
      </c>
      <c r="B123" s="6">
        <v>0.9642857142857143</v>
      </c>
      <c r="C123" s="6">
        <v>0.9517241379310345</v>
      </c>
      <c r="D123" s="6">
        <v>0.97297297297297303</v>
      </c>
      <c r="E123" s="6">
        <v>0.95454545454545459</v>
      </c>
      <c r="F123" s="6">
        <v>1.0454545454545454</v>
      </c>
      <c r="G123" s="6">
        <v>1.024390243902439</v>
      </c>
    </row>
    <row r="124" spans="1:10" x14ac:dyDescent="0.25">
      <c r="A124" s="5" t="s">
        <v>7</v>
      </c>
      <c r="B124" s="6">
        <v>1.0588235294117647</v>
      </c>
      <c r="C124" s="6">
        <v>0.8666666666666667</v>
      </c>
      <c r="D124" s="6">
        <v>1.0833333333333333</v>
      </c>
      <c r="E124" s="6">
        <v>0.95652173913043481</v>
      </c>
      <c r="F124" s="6">
        <v>1.05</v>
      </c>
      <c r="G124" s="6">
        <v>0.96470588235294119</v>
      </c>
    </row>
    <row r="125" spans="1:10" x14ac:dyDescent="0.25">
      <c r="A125" s="5" t="s">
        <v>22</v>
      </c>
      <c r="B125" s="6">
        <v>1.0769230769230769</v>
      </c>
      <c r="C125" s="6">
        <v>0.96296296296296291</v>
      </c>
      <c r="D125" s="6">
        <v>1.1363636363636365</v>
      </c>
      <c r="E125" s="6">
        <v>1.1363636363636365</v>
      </c>
      <c r="F125" s="6">
        <v>0.97647058823529409</v>
      </c>
      <c r="G125" s="6">
        <v>0.97647058823529409</v>
      </c>
    </row>
    <row r="126" spans="1:10" x14ac:dyDescent="0.25">
      <c r="A126" s="5" t="s">
        <v>26</v>
      </c>
      <c r="B126" s="6">
        <v>1.037037037037037</v>
      </c>
      <c r="C126" s="6">
        <v>0.92307692307692313</v>
      </c>
      <c r="D126" s="6"/>
      <c r="E126" s="6"/>
      <c r="F126" s="6">
        <v>1</v>
      </c>
      <c r="G126" s="6">
        <v>1</v>
      </c>
    </row>
    <row r="127" spans="1:10" x14ac:dyDescent="0.25">
      <c r="A127" s="5" t="s">
        <v>20</v>
      </c>
      <c r="B127" s="6"/>
      <c r="C127" s="6"/>
      <c r="D127" s="6"/>
      <c r="E127" s="6"/>
      <c r="F127" s="6">
        <v>1.0111111111111111</v>
      </c>
      <c r="G127" s="6">
        <v>0.9375</v>
      </c>
    </row>
    <row r="128" spans="1:10" x14ac:dyDescent="0.25">
      <c r="A128" s="5" t="s">
        <v>120</v>
      </c>
      <c r="B128" s="6">
        <v>1.096774193548387</v>
      </c>
      <c r="C128" s="6">
        <v>0.8666666666666667</v>
      </c>
      <c r="D128" s="6">
        <v>1.1363636363636365</v>
      </c>
      <c r="E128" s="6">
        <v>0.90476190476190477</v>
      </c>
      <c r="F128" s="6">
        <v>1.0823529411764705</v>
      </c>
      <c r="G128" s="6">
        <v>0.9375</v>
      </c>
    </row>
    <row r="131" spans="1:6" x14ac:dyDescent="0.25">
      <c r="A131" s="13" t="s">
        <v>167</v>
      </c>
      <c r="B131" s="13"/>
      <c r="C131" s="13"/>
    </row>
    <row r="132" spans="1:6" x14ac:dyDescent="0.25">
      <c r="A132" s="4" t="s">
        <v>121</v>
      </c>
      <c r="B132" s="4" t="s">
        <v>124</v>
      </c>
    </row>
    <row r="133" spans="1:6" x14ac:dyDescent="0.25">
      <c r="A133" s="4" t="s">
        <v>119</v>
      </c>
      <c r="B133" t="s">
        <v>13</v>
      </c>
      <c r="C133" t="s">
        <v>8</v>
      </c>
      <c r="D133" t="s">
        <v>11</v>
      </c>
      <c r="E133" t="s">
        <v>120</v>
      </c>
    </row>
    <row r="134" spans="1:6" x14ac:dyDescent="0.25">
      <c r="A134" s="5" t="s">
        <v>132</v>
      </c>
      <c r="B134">
        <v>900000</v>
      </c>
      <c r="C134">
        <v>1023000</v>
      </c>
      <c r="D134">
        <v>623000</v>
      </c>
      <c r="E134">
        <v>2546000</v>
      </c>
    </row>
    <row r="135" spans="1:6" x14ac:dyDescent="0.25">
      <c r="A135" s="5" t="s">
        <v>160</v>
      </c>
      <c r="B135">
        <v>1083000</v>
      </c>
      <c r="C135">
        <v>770000</v>
      </c>
      <c r="D135">
        <v>613000</v>
      </c>
      <c r="E135">
        <v>2466000</v>
      </c>
    </row>
    <row r="136" spans="1:6" x14ac:dyDescent="0.25">
      <c r="A136" s="5" t="s">
        <v>161</v>
      </c>
      <c r="B136">
        <v>920000</v>
      </c>
      <c r="C136">
        <v>1015000</v>
      </c>
      <c r="D136">
        <v>607000</v>
      </c>
      <c r="E136">
        <v>2542000</v>
      </c>
    </row>
    <row r="137" spans="1:6" x14ac:dyDescent="0.25">
      <c r="A137" s="5" t="s">
        <v>162</v>
      </c>
      <c r="B137">
        <v>1080000</v>
      </c>
      <c r="C137">
        <v>977000</v>
      </c>
      <c r="D137">
        <v>523000</v>
      </c>
      <c r="E137">
        <v>2580000</v>
      </c>
    </row>
    <row r="138" spans="1:6" x14ac:dyDescent="0.25">
      <c r="A138" s="5" t="s">
        <v>163</v>
      </c>
      <c r="B138">
        <v>925000</v>
      </c>
      <c r="C138">
        <v>810000</v>
      </c>
      <c r="D138">
        <v>618000</v>
      </c>
      <c r="E138">
        <v>2353000</v>
      </c>
    </row>
    <row r="139" spans="1:6" x14ac:dyDescent="0.25">
      <c r="A139" s="5" t="s">
        <v>120</v>
      </c>
      <c r="B139">
        <v>4908000</v>
      </c>
      <c r="C139">
        <v>4595000</v>
      </c>
      <c r="D139">
        <v>2984000</v>
      </c>
      <c r="E139">
        <v>12487000</v>
      </c>
    </row>
    <row r="144" spans="1:6" x14ac:dyDescent="0.25">
      <c r="F144" s="8"/>
    </row>
    <row r="145" spans="6:6" x14ac:dyDescent="0.25">
      <c r="F145" s="2"/>
    </row>
    <row r="146" spans="6:6" x14ac:dyDescent="0.25">
      <c r="F146" s="2"/>
    </row>
    <row r="147" spans="6:6" x14ac:dyDescent="0.25">
      <c r="F147" s="2"/>
    </row>
    <row r="148" spans="6:6" x14ac:dyDescent="0.25">
      <c r="F148" s="2"/>
    </row>
    <row r="155" spans="6:6" ht="24.75" customHeight="1" x14ac:dyDescent="0.25"/>
    <row r="156" spans="6:6" ht="24.75" customHeight="1" x14ac:dyDescent="0.25"/>
    <row r="157" spans="6:6" ht="27.75" customHeight="1" x14ac:dyDescent="0.25"/>
    <row r="158" spans="6:6" ht="36.75" customHeight="1" x14ac:dyDescent="0.25"/>
    <row r="159" spans="6:6" ht="28.5" customHeight="1" x14ac:dyDescent="0.25"/>
    <row r="165" ht="27" customHeight="1" x14ac:dyDescent="0.25"/>
    <row r="166" ht="31.5" customHeight="1" x14ac:dyDescent="0.25"/>
    <row r="167" ht="27.75" customHeight="1" x14ac:dyDescent="0.25"/>
    <row r="168" ht="33" customHeight="1" x14ac:dyDescent="0.25"/>
    <row r="169" ht="33" customHeight="1" x14ac:dyDescent="0.25"/>
  </sheetData>
  <mergeCells count="13">
    <mergeCell ref="A114:D114"/>
    <mergeCell ref="A131:C131"/>
    <mergeCell ref="A49:D49"/>
    <mergeCell ref="E90:F90"/>
    <mergeCell ref="A2:B2"/>
    <mergeCell ref="A16:B16"/>
    <mergeCell ref="A38:B38"/>
    <mergeCell ref="A23:C23"/>
    <mergeCell ref="A59:C59"/>
    <mergeCell ref="A69:D69"/>
    <mergeCell ref="A79:D79"/>
    <mergeCell ref="A90:D90"/>
    <mergeCell ref="A101:D101"/>
  </mergeCells>
  <pageMargins left="0.7" right="0.7" top="0.75" bottom="0.75" header="0.3" footer="0.3"/>
  <pageSetup orientation="portrait" r:id="rId13"/>
  <extLst>
    <ext xmlns:x14="http://schemas.microsoft.com/office/spreadsheetml/2009/9/main" uri="{05C60535-1F16-4fd2-B633-F4F36F0B64E0}">
      <x14:sparklineGroups xmlns:xm="http://schemas.microsoft.com/office/excel/2006/main">
        <x14:sparklineGroup manualMax="0" manualMin="0" type="column" displayEmptyCellsAs="gap" xr2:uid="{75F130BE-01B3-4F43-BCB7-DA3EA5FE28A3}">
          <x14:colorSeries rgb="FF376092"/>
          <x14:colorNegative rgb="FFD00000"/>
          <x14:colorAxis rgb="FF000000"/>
          <x14:colorMarkers rgb="FFD00000"/>
          <x14:colorFirst rgb="FFD00000"/>
          <x14:colorLast rgb="FFD00000"/>
          <x14:colorHigh rgb="FFD00000"/>
          <x14:colorLow rgb="FFD00000"/>
          <x14:sparklines>
            <x14:sparkline>
              <xm:f>'Pivot Tables'!B66:D66</xm:f>
              <xm:sqref>F66</xm:sqref>
            </x14:sparkline>
          </x14:sparklines>
        </x14:sparklineGroup>
        <x14:sparklineGroup manualMax="0" manualMin="0" type="column" displayEmptyCellsAs="gap" xr2:uid="{A9ED9137-5B7F-4029-9919-E019D576BE14}">
          <x14:colorSeries rgb="FF376092"/>
          <x14:colorNegative rgb="FFD00000"/>
          <x14:colorAxis rgb="FF000000"/>
          <x14:colorMarkers rgb="FFD00000"/>
          <x14:colorFirst rgb="FFD00000"/>
          <x14:colorLast rgb="FFD00000"/>
          <x14:colorHigh rgb="FFD00000"/>
          <x14:colorLow rgb="FFD00000"/>
          <x14:sparklines>
            <x14:sparkline>
              <xm:f>'Pivot Tables'!B65:D65</xm:f>
              <xm:sqref>F65</xm:sqref>
            </x14:sparkline>
          </x14:sparklines>
        </x14:sparklineGroup>
        <x14:sparklineGroup manualMax="0" manualMin="0" type="column" displayEmptyCellsAs="gap" xr2:uid="{E6941E04-28CA-443A-A68B-17DA716AEB8F}">
          <x14:colorSeries rgb="FF376092"/>
          <x14:colorNegative rgb="FFD00000"/>
          <x14:colorAxis rgb="FF000000"/>
          <x14:colorMarkers rgb="FFD00000"/>
          <x14:colorFirst rgb="FFD00000"/>
          <x14:colorLast rgb="FFD00000"/>
          <x14:colorHigh rgb="FFD00000"/>
          <x14:colorLow rgb="FFD00000"/>
          <x14:sparklines>
            <x14:sparkline>
              <xm:f>'Pivot Tables'!B64:D64</xm:f>
              <xm:sqref>F64</xm:sqref>
            </x14:sparkline>
          </x14:sparklines>
        </x14:sparklineGroup>
        <x14:sparklineGroup manualMax="0" manualMin="0" type="column" displayEmptyCellsAs="gap" xr2:uid="{144A9A95-1CF7-4749-964C-41EC829BA009}">
          <x14:colorSeries rgb="FF376092"/>
          <x14:colorNegative rgb="FFD00000"/>
          <x14:colorAxis rgb="FF000000"/>
          <x14:colorMarkers rgb="FFD00000"/>
          <x14:colorFirst rgb="FFD00000"/>
          <x14:colorLast rgb="FFD00000"/>
          <x14:colorHigh rgb="FFD00000"/>
          <x14:colorLow rgb="FFD00000"/>
          <x14:sparklines>
            <x14:sparkline>
              <xm:f>'Pivot Tables'!B63:D63</xm:f>
              <xm:sqref>F63</xm:sqref>
            </x14:sparkline>
          </x14:sparklines>
        </x14:sparklineGroup>
        <x14:sparklineGroup manualMax="0" manualMin="0" type="column" displayEmptyCellsAs="gap" xr2:uid="{FB7E53B6-C8BC-4D64-B313-8644B6810C80}">
          <x14:colorSeries rgb="FF376092"/>
          <x14:colorNegative rgb="FFD00000"/>
          <x14:colorAxis rgb="FF000000"/>
          <x14:colorMarkers rgb="FFD00000"/>
          <x14:colorFirst rgb="FFD00000"/>
          <x14:colorLast rgb="FFD00000"/>
          <x14:colorHigh rgb="FFD00000"/>
          <x14:colorLow rgb="FFD00000"/>
          <x14:sparklines>
            <x14:sparkline>
              <xm:f>'Pivot Tables'!B62:D62</xm:f>
              <xm:sqref>F62</xm:sqref>
            </x14:sparkline>
          </x14:sparklines>
        </x14:sparklineGroup>
        <x14:sparklineGroup manualMax="0" manualMin="0" type="column" displayEmptyCellsAs="gap" xr2:uid="{2B3F6905-F33D-49BA-9DF7-727749234B44}">
          <x14:colorSeries rgb="FF376092"/>
          <x14:colorNegative rgb="FFD00000"/>
          <x14:colorAxis rgb="FF000000"/>
          <x14:colorMarkers rgb="FFD00000"/>
          <x14:colorFirst rgb="FFD00000"/>
          <x14:colorLast rgb="FFD00000"/>
          <x14:colorHigh rgb="FFD00000"/>
          <x14:colorLow rgb="FFD00000"/>
          <x14:sparklines>
            <x14:sparkline>
              <xm:f>'Pivot Tables'!B56:D56</xm:f>
              <xm:sqref>F56</xm:sqref>
            </x14:sparkline>
          </x14:sparklines>
        </x14:sparklineGroup>
        <x14:sparklineGroup manualMax="0" manualMin="0" type="column" displayEmptyCellsAs="gap" xr2:uid="{6C696817-1F6A-4406-8115-01AA6AD67399}">
          <x14:colorSeries rgb="FF376092"/>
          <x14:colorNegative rgb="FFD00000"/>
          <x14:colorAxis rgb="FF000000"/>
          <x14:colorMarkers rgb="FFD00000"/>
          <x14:colorFirst rgb="FFD00000"/>
          <x14:colorLast rgb="FFD00000"/>
          <x14:colorHigh rgb="FFD00000"/>
          <x14:colorLow rgb="FFD00000"/>
          <x14:sparklines>
            <x14:sparkline>
              <xm:f>'Pivot Tables'!B55:D55</xm:f>
              <xm:sqref>F55</xm:sqref>
            </x14:sparkline>
          </x14:sparklines>
        </x14:sparklineGroup>
        <x14:sparklineGroup manualMax="0" manualMin="0" type="column" displayEmptyCellsAs="gap" xr2:uid="{71834DF3-C2F6-4C8F-8086-E1C16ACA1255}">
          <x14:colorSeries rgb="FF376092"/>
          <x14:colorNegative rgb="FFD00000"/>
          <x14:colorAxis rgb="FF000000"/>
          <x14:colorMarkers rgb="FFD00000"/>
          <x14:colorFirst rgb="FFD00000"/>
          <x14:colorLast rgb="FFD00000"/>
          <x14:colorHigh rgb="FFD00000"/>
          <x14:colorLow rgb="FFD00000"/>
          <x14:sparklines>
            <x14:sparkline>
              <xm:f>'Pivot Tables'!B54:D54</xm:f>
              <xm:sqref>F54</xm:sqref>
            </x14:sparkline>
          </x14:sparklines>
        </x14:sparklineGroup>
        <x14:sparklineGroup manualMax="0" manualMin="0" type="column" displayEmptyCellsAs="gap" xr2:uid="{C9615291-479E-405C-A746-0956557C58A5}">
          <x14:colorSeries rgb="FF376092"/>
          <x14:colorNegative rgb="FFD00000"/>
          <x14:colorAxis rgb="FF000000"/>
          <x14:colorMarkers rgb="FFD00000"/>
          <x14:colorFirst rgb="FFD00000"/>
          <x14:colorLast rgb="FFD00000"/>
          <x14:colorHigh rgb="FFD00000"/>
          <x14:colorLow rgb="FFD00000"/>
          <x14:sparklines>
            <x14:sparkline>
              <xm:f>'Pivot Tables'!B53:D53</xm:f>
              <xm:sqref>F53</xm:sqref>
            </x14:sparkline>
          </x14:sparklines>
        </x14:sparklineGroup>
        <x14:sparklineGroup manualMax="0" manualMin="0" type="column" displayEmptyCellsAs="gap" xr2:uid="{99D4D7CC-CC94-4E2E-AF73-0568D44A77BF}">
          <x14:colorSeries rgb="FF376092"/>
          <x14:colorNegative rgb="FFD00000"/>
          <x14:colorAxis rgb="FF000000"/>
          <x14:colorMarkers rgb="FFD00000"/>
          <x14:colorFirst rgb="FFD00000"/>
          <x14:colorLast rgb="FFD00000"/>
          <x14:colorHigh rgb="FFD00000"/>
          <x14:colorLow rgb="FFD00000"/>
          <x14:sparklines>
            <x14:sparkline>
              <xm:f>'Pivot Tables'!B52:D52</xm:f>
              <xm:sqref>F52</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B550C-5F98-490F-B66A-5C71531380D4}">
  <dimension ref="M36"/>
  <sheetViews>
    <sheetView topLeftCell="A6" zoomScaleNormal="100" workbookViewId="0">
      <selection activeCell="AD36" sqref="AD36"/>
    </sheetView>
  </sheetViews>
  <sheetFormatPr defaultRowHeight="15" x14ac:dyDescent="0.25"/>
  <cols>
    <col min="1" max="12" width="9.140625" style="9"/>
    <col min="13" max="13" width="29.42578125" style="9" bestFit="1" customWidth="1"/>
    <col min="14" max="16384" width="9.140625" style="9"/>
  </cols>
  <sheetData>
    <row r="36" spans="13:13" ht="26.25" x14ac:dyDescent="0.4">
      <c r="M36"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E08F096-4BB8-45BE-ABB3-92C53EC7378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MIS_RegionalSalesData</vt:lpstr>
      <vt:lpstr>Pivot Tables</vt:lpstr>
      <vt:lpstr>DashBoard MIS Monthly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2026-07-15T17:30:22Z</dcterms:created>
  <dcterms:modified xsi:type="dcterms:W3CDTF">2026-08-07T12:26:23Z</dcterms:modified>
</cp:coreProperties>
</file>